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2e4050ec945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er" sheetId="1" r:id="Re2e9e223adff4af5"/>
    <x:sheet xmlns:r="http://schemas.openxmlformats.org/officeDocument/2006/relationships" name="Profile_Detail" sheetId="2" r:id="Rb6839cab71b841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&quot; records&quot;"/>
    <x:numFmt numFmtId="201" formatCode="0&quot; details&quot;"/>
  </x:numFmts>
  <x:fonts count="8">
    <x:font>
      <x:sz val="11"/>
      <x:name val="Carlito"/>
    </x:font>
    <x:font>
      <x:sz val="11"/>
      <x:color rgb="FF182C40"/>
      <x:name val="Nimbus Sans"/>
    </x:font>
    <x:font>
      <x:b/>
      <x:sz val="16"/>
      <x:color rgb="FF173B5E"/>
      <x:name val="Nimbus Sans"/>
    </x:font>
    <x:font>
      <x:sz val="11"/>
      <x:color rgb="FF52677A"/>
      <x:name val="Nimbus Sans"/>
    </x:font>
    <x:font>
      <x:i/>
      <x:sz val="11"/>
      <x:color rgb="FF52677A"/>
      <x:name val="Nimbus Sans"/>
    </x:font>
    <x:font>
      <x:b/>
      <x:sz val="11"/>
      <x:color rgb="FFFFFFFF"/>
      <x:name val="Nimbus Sans"/>
    </x:font>
    <x:font>
      <x:b/>
      <x:sz val="11"/>
      <x:color rgb="FF173B5E"/>
      <x:name val="Nimbus Sans"/>
    </x:font>
    <x:font>
      <x:b/>
      <x:sz val="14"/>
      <x:color rgb="FF173B5E"/>
      <x:name val="Nimbus Sans"/>
    </x:font>
  </x:fonts>
  <x:fills count="4">
    <x:fill>
      <x:patternFill patternType="none"/>
    </x:fill>
    <x:fill>
      <x:patternFill patternType="gray125"/>
    </x:fill>
    <x:fill>
      <x:patternFill patternType="solid">
        <x:fgColor rgb="FF173B5E"/>
      </x:patternFill>
    </x:fill>
    <x:fill>
      <x:patternFill patternType="solid">
        <x:fgColor rgb="FFEFF4F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 vertical="center"/>
    </x:xf>
    <x:xf numFmtId="200" fontId="7" fillId="0" borderId="0" xfId="0" applyNumberFormat="1" applyFont="1" applyFill="1" applyBorder="1" applyAlignment="1">
      <x:alignment horizontal="left" vertical="center"/>
    </x:xf>
    <x:xf numFmtId="201" fontId="7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1">
    <x:dxf>
      <x:font>
        <x:b/>
        <x:color rgb="FF173B5E"/>
      </x:font>
      <x:fill>
        <x:patternFill>
          <x:bgColor rgb="FFE6ED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493a0865aa47c0" /><Relationship Type="http://schemas.openxmlformats.org/officeDocument/2006/relationships/theme" Target="/xl/theme/theme1.xml" Id="R56f9498657114f24" /><Relationship Type="http://schemas.openxmlformats.org/officeDocument/2006/relationships/sharedStrings" Target="/xl/sharedStrings.xml" Id="R0e095e7472714b19" /><Relationship Type="http://schemas.openxmlformats.org/officeDocument/2006/relationships/worksheet" Target="/xl/worksheets/sheet1.xml" Id="Re2e9e223adff4af5" /><Relationship Type="http://schemas.openxmlformats.org/officeDocument/2006/relationships/worksheet" Target="/xl/worksheets/sheet2.xml" Id="Rb6839cab71b84109" /></Relationships>
</file>

<file path=xl/tables/table1.xml><?xml version="1.0" encoding="utf-8"?>
<x:table xmlns:x="http://schemas.openxmlformats.org/spreadsheetml/2006/main" id="1" name="W01Assumptions" displayName="W01Assumptions" ref="A8:N36" headerRowCount="1" totalsRowCount="0" totalsRowShown="0">
  <x:autoFilter ref="A8:N36"/>
  <x:tableColumns count="14">
    <x:tableColumn id="1" name="Assumption reference"/>
    <x:tableColumn id="2" name="Record type"/>
    <x:tableColumn id="3" name="Topic"/>
    <x:tableColumn id="4" name="Working assumption / hypothesis"/>
    <x:tableColumn id="5" name="Status"/>
    <x:tableColumn id="6" name="Sensitivity"/>
    <x:tableColumn id="7" name="Owner"/>
    <x:tableColumn id="8" name="Expected answer"/>
    <x:tableColumn id="9" name="Specific validation test"/>
    <x:tableColumn id="10" name="Sources / evidence to collect"/>
    <x:tableColumn id="11" name="Used in / related analysis"/>
    <x:tableColumn id="12" name="Current value / range"/>
    <x:tableColumn id="13" name="Effect if rejected"/>
    <x:tableColumn id="14" name="Rational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W01ProfileDetails" displayName="W01ProfileDetails" ref="A8:L28" headerRowCount="1" totalsRowCount="0" totalsRowShown="0">
  <x:autoFilter ref="A8:L28"/>
  <x:tableColumns count="12">
    <x:tableColumn id="1" name="Detail reference"/>
    <x:tableColumn id="2" name="Parent reference"/>
    <x:tableColumn id="3" name="Platform"/>
    <x:tableColumn id="4" name="Commercial field"/>
    <x:tableColumn id="5" name="Working assumption"/>
    <x:tableColumn id="6" name="Why plausible / limit"/>
    <x:tableColumn id="7" name="Specific validation"/>
    <x:tableColumn id="8" name="Supporting sources"/>
    <x:tableColumn id="9" name="Owner"/>
    <x:tableColumn id="10" name="Sensitivity"/>
    <x:tableColumn id="11" name="Status"/>
    <x:tableColumn id="12" name="Expected answ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950e4df35f4a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b45bf5e6104f52" /></Relationships>
</file>

<file path=xl/worksheets/sheet1.xml><?xml version="1.0" encoding="utf-8"?>
<x:worksheet xmlns:x="http://schemas.openxmlformats.org/spreadsheetml/2006/main">
  <x:sheetPr>
    <x:tabColor rgb="FF173B5E"/>
    <x:outlinePr summaryRight="1" showOutlineSymbols="1"/>
  </x:sheetPr>
  <x:sheetViews>
    <x:sheetView showGridLines="0" workbookViewId="0" showOutlineSymbols="1">
      <x:pane xSplit="3" ySplit="8" topLeftCell="D9" activePane="bottomRight" state="frozen"/>
    </x:sheetView>
  </x:sheetViews>
  <x:sheetFormatPr defaultRowHeight="15" outlineLevelCol="1"/>
  <x:cols>
    <x:col min="1" max="1" width="9.4399995803833" hidden="1" customWidth="1" outlineLevel="1"/>
    <x:col min="2" max="2" width="19.440000534057617" hidden="0" customWidth="1" collapsed="1"/>
    <x:col min="3" max="3" width="27.780000686645508" hidden="0" customWidth="1"/>
    <x:col min="4" max="4" width="57.779998779296875" hidden="0" customWidth="1"/>
    <x:col min="5" max="5" width="12.220000267028809" hidden="0" customWidth="1"/>
    <x:col min="6" max="6" width="12.779999732971191" hidden="0" customWidth="1"/>
    <x:col min="7" max="7" width="15.5600004196167" hidden="0" customWidth="1"/>
    <x:col min="8" max="8" width="20" hidden="0" customWidth="1"/>
    <x:col min="9" max="9" width="55.560001373291016" hidden="0" customWidth="1"/>
    <x:col min="10" max="10" width="50" hidden="0" customWidth="1"/>
    <x:col min="11" max="11" width="48.88999938964844" hidden="0" customWidth="1"/>
    <x:col min="12" max="12" width="28.889999389648438" hidden="0" customWidth="1"/>
    <x:col min="13" max="13" width="43.33000183105469" hidden="0" customWidth="1"/>
    <x:col min="14" max="14" width="47.779998779296875" hidden="0" customWidth="1"/>
    <x:col min="15" max="15" width="28.889999389648438" hidden="1" customWidth="1" outlineLevel="1"/>
    <x:col min="16" max="16" width="28.889999389648438" hidden="1" customWidth="1" outlineLevel="1"/>
    <x:col min="17" max="17" width="16" customWidth="1" collapsed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/>
      <x:c r="B2" s="3" t="str">
        <x:v>Week 1 assumptions register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8.75" customHeight="1">
      <x:c r="A3" s="4"/>
      <x:c r="B3" s="4" t="str">
        <x:v>InGen Dynamics. Week 1 evidence base. Yufei Li. Reviewed 27 October 2026.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18.75" customHeight="1">
      <x:c r="A4" s="5"/>
      <x:c r="B4" s="5" t="str">
        <x:v>Assumptions use plain-language topics and source names. Open means unvalidated. Reference codes remain available in auxiliary columns.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 t="str">
        <x:v>Records</x:v>
      </x:c>
      <x:c r="B5" s="24" t="n">
        <x:f>COUNTA(A9:A36)</x:f>
        <x:v>28</x:v>
      </x:c>
      <x:c r="C5" s="2" t="str">
        <x:v>Open</x:v>
      </x:c>
      <x:c r="D5" s="23" t="n">
        <x:f>COUNTIFS(E9:E36,"Open")</x:f>
        <x:v>28</x:v>
      </x:c>
      <x:c r="E5" s="2" t="str">
        <x:v>Validated</x:v>
      </x:c>
      <x:c r="F5" s="23" t="n">
        <x:f>COUNTIFS(E9:E36,"Validated")</x:f>
        <x:v>0</x:v>
      </x:c>
      <x:c r="G5" s="2"/>
      <x:c r="H5" s="2"/>
      <x:c r="I5" s="2"/>
      <x:c r="J5" s="2"/>
      <x:c r="K5" s="2"/>
      <x:c r="L5" s="2"/>
      <x:c r="M5" s="2"/>
      <x:c r="N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43.5" customHeight="1">
      <x:c r="A8" s="14" t="str">
        <x:v>Assumption reference</x:v>
      </x:c>
      <x:c r="B8" s="15" t="str">
        <x:v>Record type</x:v>
      </x:c>
      <x:c r="C8" s="15" t="str">
        <x:v>Topic</x:v>
      </x:c>
      <x:c r="D8" s="15" t="str">
        <x:v>Working assumption / hypothesis</x:v>
      </x:c>
      <x:c r="E8" s="15" t="str">
        <x:v>Status</x:v>
      </x:c>
      <x:c r="F8" s="15" t="str">
        <x:v>Sensitivity</x:v>
      </x:c>
      <x:c r="G8" s="15" t="str">
        <x:v>Owner</x:v>
      </x:c>
      <x:c r="H8" s="15" t="str">
        <x:v>Expected answer</x:v>
      </x:c>
      <x:c r="I8" s="15" t="str">
        <x:v>Specific validation test</x:v>
      </x:c>
      <x:c r="J8" s="15" t="str">
        <x:v>Sources / evidence to collect</x:v>
      </x:c>
      <x:c r="K8" s="15" t="str">
        <x:v>Used in / related analysis</x:v>
      </x:c>
      <x:c r="L8" s="15" t="str">
        <x:v>Current value / range</x:v>
      </x:c>
      <x:c r="M8" s="15" t="str">
        <x:v>Effect if rejected</x:v>
      </x:c>
      <x:c r="N8" s="16" t="str">
        <x:v>Rationale</x:v>
      </x:c>
      <x:c r="O8" t="str">
        <x:v>Original source references</x:v>
      </x:c>
      <x:c r="P8" t="str">
        <x:v>Original deliverable references</x:v>
      </x:c>
    </x:row>
    <x:row r="9" ht="46.5" customHeight="1">
      <x:c r="A9" s="20" t="str">
        <x:v>H01</x:v>
      </x:c>
      <x:c r="B9" s="18" t="str">
        <x:v>Platform hypothesis</x:v>
      </x:c>
      <x:c r="C9" s="18" t="str">
        <x:v>Rover service feasibility</x:v>
      </x:c>
      <x:c r="D9" s="18" t="str">
        <x:v>A controlled logistics site has enough suitable patrol work for a supported RaaS offer to create value.</x:v>
      </x:c>
      <x:c r="E9" s="18" t="str">
        <x:v>Open</x:v>
      </x:c>
      <x:c r="F9" s="18" t="str">
        <x:v>High</x:v>
      </x:c>
      <x:c r="G9" s="18" t="str">
        <x:v>Yufei Li</x:v>
      </x:c>
      <x:c r="H9" s="18" t="str">
        <x:v>W4–5</x:v>
      </x:c>
      <x:c r="I9" s="18" t="str">
        <x:v>Verify configuration and route limits. Reject the case if supervision and service cost remove buyer benefit.</x:v>
      </x:c>
      <x:c r="J9" s="18" t="str">
        <x:v>InGen website; BLS security-guard duties; Business-analysis concepts primer</x:v>
      </x:c>
      <x:c r="K9" s="18" t="str">
        <x:v>Brief p1; Adoption and readiness/Customer ROI/InGen unit economics</x:v>
      </x:c>
      <x:c r="L9" s="18" t="str">
        <x:v>Qualitative working hypothesis</x:v>
      </x:c>
      <x:c r="M9" s="18" t="str">
        <x:v>May require a narrower scope or deferred hardware case.</x:v>
      </x:c>
      <x:c r="N9" s="18" t="str">
        <x:v>A bounded patrol task provides a measurable guard-cost comparator.</x:v>
      </x:c>
      <x:c r="O9" s="18" t="str">
        <x:v>S1; S4; I1a</x:v>
      </x:c>
      <x:c r="P9" s="18" t="str">
        <x:v>Brief p1; G1/E1/E2</x:v>
      </x:c>
    </x:row>
    <x:row r="10" ht="46.5" customHeight="1">
      <x:c r="A10" s="21" t="str">
        <x:v>H02</x:v>
      </x:c>
      <x:c r="B10" s="19" t="str">
        <x:v>Platform hypothesis</x:v>
      </x:c>
      <x:c r="C10" s="19" t="str">
        <x:v>Sentinel entry feasibility</x:v>
      </x:c>
      <x:c r="D10" s="19" t="str">
        <x:v>A standalone analytics offer may operate on suitable installed infrastructure with less new hardware than Rover.</x:v>
      </x:c>
      <x:c r="E10" s="19" t="str">
        <x:v>Open</x:v>
      </x:c>
      <x:c r="F10" s="19" t="str">
        <x:v>High</x:v>
      </x:c>
      <x:c r="G10" s="19" t="str">
        <x:v>Yufei Li</x:v>
      </x:c>
      <x:c r="H10" s="19" t="str">
        <x:v>W4–5</x:v>
      </x:c>
      <x:c r="I10" s="19" t="str">
        <x:v>Verify availability, interfaces and licence terms. Test workload and event quality on the defined baseline.</x:v>
      </x:c>
      <x:c r="J10" s="19" t="str">
        <x:v>InGen website; InGen annual report (2025); NIST AI risk framework</x:v>
      </x:c>
      <x:c r="K10" s="19" t="str">
        <x:v>Brief p2; Adoption and readiness/Customer ROI/InGen unit economics</x:v>
      </x:c>
      <x:c r="L10" s="19" t="str">
        <x:v>Qualitative working hypothesis</x:v>
      </x:c>
      <x:c r="M10" s="19" t="str">
        <x:v>Could eliminate the proposed software-first route.</x:v>
      </x:c>
      <x:c r="N10" s="19" t="str">
        <x:v>The software-led path could reduce equipment commitment, subject to compatibility.</x:v>
      </x:c>
      <x:c r="O10" s="19" t="str">
        <x:v>S1; S2; S5</x:v>
      </x:c>
      <x:c r="P10" s="19" t="str">
        <x:v>Brief p2; G1/E1/E2</x:v>
      </x:c>
    </x:row>
    <x:row r="11" ht="46.5" customHeight="1">
      <x:c r="A11" s="20" t="str">
        <x:v>H03</x:v>
      </x:c>
      <x:c r="B11" s="18" t="str">
        <x:v>Platform hypothesis</x:v>
      </x:c>
      <x:c r="C11" s="18" t="str">
        <x:v>Fari facility economics</x:v>
      </x:c>
      <x:c r="D11" s="18" t="str">
        <x:v>A senior-living facility may pay for voluntary engagement if repeat use and staff support burden justify the cost.</x:v>
      </x:c>
      <x:c r="E11" s="18" t="str">
        <x:v>Open</x:v>
      </x:c>
      <x:c r="F11" s="18" t="str">
        <x:v>High</x:v>
      </x:c>
      <x:c r="G11" s="18" t="str">
        <x:v>Yufei Li</x:v>
      </x:c>
      <x:c r="H11" s="18" t="str">
        <x:v>W4</x:v>
      </x:c>
      <x:c r="I11" s="18" t="str">
        <x:v>Confirm current product scope, buyer budget, resident acceptance and staff minutes. No clinical/staffing saving presumed.</x:v>
      </x:c>
      <x:c r="J11" s="18" t="str">
        <x:v>InGen website; InGen annual report (2025); Manchester collaboration announcement; Business-analysis concepts primer</x:v>
      </x:c>
      <x:c r="K11" s="18" t="str">
        <x:v>Brief p3; W04 Fari note</x:v>
      </x:c>
      <x:c r="L11" s="18" t="str">
        <x:v>Qualitative working hypothesis</x:v>
      </x:c>
      <x:c r="M11" s="18" t="str">
        <x:v>May change the buyer, use case or priority of the secondary test.</x:v>
      </x:c>
      <x:c r="N11" s="18" t="str">
        <x:v>The institutional setting allows bounded evaluation of user value.</x:v>
      </x:c>
      <x:c r="O11" s="18" t="str">
        <x:v>S1; S2; S3; I1a</x:v>
      </x:c>
      <x:c r="P11" s="18" t="str">
        <x:v>Brief p3; W04 Fari note</x:v>
      </x:c>
    </x:row>
    <x:row r="12" ht="46.5" customHeight="1">
      <x:c r="A12" s="21" t="str">
        <x:v>H04</x:v>
      </x:c>
      <x:c r="B12" s="19" t="str">
        <x:v>Platform hypothesis</x:v>
      </x:c>
      <x:c r="C12" s="19" t="str">
        <x:v>Senpai incremental value</x:v>
      </x:c>
      <x:c r="D12" s="19" t="str">
        <x:v>A school may pay if the educational use case adds value beyond available tools after teacher and privacy-review effort.</x:v>
      </x:c>
      <x:c r="E12" s="19" t="str">
        <x:v>Open</x:v>
      </x:c>
      <x:c r="F12" s="19" t="str">
        <x:v>High</x:v>
      </x:c>
      <x:c r="G12" s="19" t="str">
        <x:v>Yufei Li</x:v>
      </x:c>
      <x:c r="H12" s="19" t="str">
        <x:v>W6 next steps</x:v>
      </x:c>
      <x:c r="I12" s="19" t="str">
        <x:v>Verify curriculum fit, teacher workload, budget route and actual data collection. Seek comparative evidence.</x:v>
      </x:c>
      <x:c r="J12" s="19" t="str">
        <x:v>InGen website; Manchester collaboration announcement; FTC COPPA guidance; Business-analysis concepts primer</x:v>
      </x:c>
      <x:c r="K12" s="19" t="str">
        <x:v>Brief p4; W06 next steps</x:v>
      </x:c>
      <x:c r="L12" s="19" t="str">
        <x:v>Qualitative working hypothesis</x:v>
      </x:c>
      <x:c r="M12" s="19" t="str">
        <x:v>May make a school offer unattractive or require a different route.</x:v>
      </x:c>
      <x:c r="N12" s="19" t="str">
        <x:v>A robot needs incremental value relative to existing learning tools.</x:v>
      </x:c>
      <x:c r="O12" s="19" t="str">
        <x:v>S1; S3; S6; I1a</x:v>
      </x:c>
      <x:c r="P12" s="19" t="str">
        <x:v>Brief p4; W06 next steps</x:v>
      </x:c>
    </x:row>
    <x:row r="13" ht="46.5" customHeight="1">
      <x:c r="A13" s="20" t="str">
        <x:v>H05</x:v>
      </x:c>
      <x:c r="B13" s="18" t="str">
        <x:v>Platform hypothesis</x:v>
      </x:c>
      <x:c r="C13" s="18" t="str">
        <x:v>Humanoid research demand</x:v>
      </x:c>
      <x:c r="D13" s="18" t="str">
        <x:v>A funded lab may buy access to a repeatable task-specific capability with defined technical support.</x:v>
      </x:c>
      <x:c r="E13" s="18" t="str">
        <x:v>Open</x:v>
      </x:c>
      <x:c r="F13" s="18" t="str">
        <x:v>High</x:v>
      </x:c>
      <x:c r="G13" s="18" t="str">
        <x:v>Yufei Li</x:v>
      </x:c>
      <x:c r="H13" s="18" t="str">
        <x:v>W6 next steps</x:v>
      </x:c>
      <x:c r="I13" s="18" t="str">
        <x:v>Identify funded research need and available alternatives. Confirm repeatability, interfaces and deliverable support.</x:v>
      </x:c>
      <x:c r="J13" s="18" t="str">
        <x:v>InGen website; NIST AI risk framework; Business-analysis concepts primer</x:v>
      </x:c>
      <x:c r="K13" s="18" t="str">
        <x:v>Brief p5; W06 next steps</x:v>
      </x:c>
      <x:c r="L13" s="18" t="str">
        <x:v>Qualitative working hypothesis</x:v>
      </x:c>
      <x:c r="M13" s="18" t="str">
        <x:v>May defer commercial contracting or change the research offer.</x:v>
      </x:c>
      <x:c r="N13" s="18" t="str">
        <x:v>Research value can be tested without assuming labour replacement.</x:v>
      </x:c>
      <x:c r="O13" s="18" t="str">
        <x:v>S1; S5; I1a</x:v>
      </x:c>
      <x:c r="P13" s="18" t="str">
        <x:v>Brief p5; W06 next steps</x:v>
      </x:c>
    </x:row>
    <x:row r="14" ht="46.5" customHeight="1">
      <x:c r="A14" s="21" t="str">
        <x:v>A01</x:v>
      </x:c>
      <x:c r="B14" s="19" t="str">
        <x:v>Model assumption</x:v>
      </x:c>
      <x:c r="C14" s="19" t="str">
        <x:v>CBP establishment-to-physical-site mapping</x:v>
      </x:c>
      <x:c r="D14" s="19" t="str">
        <x:v>Adjust industry coverage and overlapping sites. One establishment need not equal one patrol site.</x:v>
      </x:c>
      <x:c r="E14" s="19" t="str">
        <x:v>Open</x:v>
      </x:c>
      <x:c r="F14" s="19" t="str">
        <x:v>High</x:v>
      </x:c>
      <x:c r="G14" s="19" t="str">
        <x:v>Yufei Li</x:v>
      </x:c>
      <x:c r="H14" s="19" t="str">
        <x:v>W2</x:v>
      </x:c>
      <x:c r="I14" s="19" t="str">
        <x:v>Map each selected NAICS group to physical sites, adjust exclusions and overlaps, and explain the reconciliation effect.</x:v>
      </x:c>
      <x:c r="J14" s="19" t="str">
        <x:v>Census establishment methodology; Facilities and establishment counts</x:v>
      </x:c>
      <x:c r="K14" s="19" t="str">
        <x:v>Issue tree US patrol market size</x:v>
      </x:c>
      <x:c r="L14" s="19" t="str">
        <x:v>Not yet quantified</x:v>
      </x:c>
      <x:c r="M14" s="19" t="str">
        <x:v>Changes sizing, ranking or the business-case conclusion.</x:v>
      </x:c>
      <x:c r="N14" s="19" t="str">
        <x:v>Adjust industry coverage and overlapping sites. One establishment need not equal one patrol site.</x:v>
      </x:c>
      <x:c r="O14" s="19" t="str">
        <x:v>S13; P02</x:v>
      </x:c>
      <x:c r="P14" s="19" t="str">
        <x:v>Issue tree M1</x:v>
      </x:c>
    </x:row>
    <x:row r="15" ht="46.5" customHeight="1">
      <x:c r="A15" s="20" t="str">
        <x:v>A02</x:v>
      </x:c>
      <x:c r="B15" s="18" t="str">
        <x:v>Model assumption</x:v>
      </x:c>
      <x:c r="C15" s="18" t="str">
        <x:v>Patrol-only share and technical addressability</x:v>
      </x:c>
      <x:c r="D15" s="18" t="str">
        <x:v>Use a task-level share and suitability range. Whole guard jobs are not assumed removable.</x:v>
      </x:c>
      <x:c r="E15" s="18" t="str">
        <x:v>Open</x:v>
      </x:c>
      <x:c r="F15" s="18" t="str">
        <x:v>High</x:v>
      </x:c>
      <x:c r="G15" s="18" t="str">
        <x:v>Yufei Li</x:v>
      </x:c>
      <x:c r="H15" s="18" t="str">
        <x:v>W2, refine W4–5</x:v>
      </x:c>
      <x:c r="I15" s="18" t="str">
        <x:v>Estimate removable patrol tasks and suitable-site share separately. Challenge a whole-guard replacement assumption.</x:v>
      </x:c>
      <x:c r="J15" s="18" t="str">
        <x:v>BLS security-guard duties; Buyer and user evidence</x:v>
      </x:c>
      <x:c r="K15" s="18" t="str">
        <x:v>Issue tree US patrol market size/Customer ROI</x:v>
      </x:c>
      <x:c r="L15" s="18" t="str">
        <x:v>Not yet quantified</x:v>
      </x:c>
      <x:c r="M15" s="18" t="str">
        <x:v>Changes sizing, ranking or the business-case conclusion.</x:v>
      </x:c>
      <x:c r="N15" s="18" t="str">
        <x:v>Use a task-level share and suitability range. Whole guard jobs are not assumed removable.</x:v>
      </x:c>
      <x:c r="O15" s="18" t="str">
        <x:v>S4; P03</x:v>
      </x:c>
      <x:c r="P15" s="18" t="str">
        <x:v>Issue tree M1/E1</x:v>
      </x:c>
    </x:row>
    <x:row r="16" ht="46.5" customHeight="1">
      <x:c r="A16" s="21" t="str">
        <x:v>A03</x:v>
      </x:c>
      <x:c r="B16" s="19" t="str">
        <x:v>Model assumption</x:v>
      </x:c>
      <x:c r="C16" s="19" t="str">
        <x:v>Loaded guard spend, hours and overhead</x:v>
      </x:c>
      <x:c r="D16" s="19" t="str">
        <x:v>BLS wages anchor the range. Benefits, overhead and annual hours require explicit assumptions.</x:v>
      </x:c>
      <x:c r="E16" s="19" t="str">
        <x:v>Open</x:v>
      </x:c>
      <x:c r="F16" s="19" t="str">
        <x:v>High</x:v>
      </x:c>
      <x:c r="G16" s="19" t="str">
        <x:v>Yufei Li</x:v>
      </x:c>
      <x:c r="H16" s="19" t="str">
        <x:v>W2, refine W5</x:v>
      </x:c>
      <x:c r="I16" s="19" t="str">
        <x:v>Anchor wages in Guard employment and wages. Document paid hours, benefits, overhead and site guard hours with a justified range.</x:v>
      </x:c>
      <x:c r="J16" s="19" t="str">
        <x:v>BLS employment and wage tables; Guard employment and wages</x:v>
      </x:c>
      <x:c r="K16" s="19" t="str">
        <x:v>Issue tree US patrol market size/Customer ROI</x:v>
      </x:c>
      <x:c r="L16" s="19" t="str">
        <x:v>Not yet quantified</x:v>
      </x:c>
      <x:c r="M16" s="19" t="str">
        <x:v>Changes sizing, ranking or the business-case conclusion.</x:v>
      </x:c>
      <x:c r="N16" s="19" t="str">
        <x:v>BLS wages anchor the range. Benefits, overhead and annual hours require explicit assumptions.</x:v>
      </x:c>
      <x:c r="O16" s="19" t="str">
        <x:v>S12; P01</x:v>
      </x:c>
      <x:c r="P16" s="19" t="str">
        <x:v>Issue tree M1/E1</x:v>
      </x:c>
    </x:row>
    <x:row r="17" ht="46.5" customHeight="1">
      <x:c r="A17" s="20" t="str">
        <x:v>A04</x:v>
      </x:c>
      <x:c r="B17" s="18" t="str">
        <x:v>Model assumption</x:v>
      </x:c>
      <x:c r="C17" s="18" t="str">
        <x:v>Sales/partner capacity, conversion and retention</x:v>
      </x:c>
      <x:c r="D17" s="18" t="str">
        <x:v>Build SOM from capacity and sales cycle, constrained by SAM. No arbitrary market-share assumption.</x:v>
      </x:c>
      <x:c r="E17" s="18" t="str">
        <x:v>Open</x:v>
      </x:c>
      <x:c r="F17" s="18" t="str">
        <x:v>High</x:v>
      </x:c>
      <x:c r="G17" s="18" t="str">
        <x:v>Yufei Li</x:v>
      </x:c>
      <x:c r="H17" s="18" t="str">
        <x:v>W2, refine W6</x:v>
      </x:c>
      <x:c r="I17" s="18" t="str">
        <x:v>Build three-year SOM from sellers/partners, cycle, conversion, units per deal and deployment limits, constrained by SAM.</x:v>
      </x:c>
      <x:c r="J17" s="18" t="str">
        <x:v>Issue tree and analysis plan; buyer, competitor and annual-filing evidence</x:v>
      </x:c>
      <x:c r="K17" s="18" t="str">
        <x:v>Issue tree US patrol market size/Channel and pilot evidence</x:v>
      </x:c>
      <x:c r="L17" s="18" t="str">
        <x:v>Not yet quantified</x:v>
      </x:c>
      <x:c r="M17" s="18" t="str">
        <x:v>Changes sizing, ranking or the business-case conclusion.</x:v>
      </x:c>
      <x:c r="N17" s="18" t="str">
        <x:v>Build SOM from capacity and sales cycle, constrained by SAM. No arbitrary market-share assumption.</x:v>
      </x:c>
      <x:c r="O17" s="18" t="str">
        <x:v>I3; P03–P05</x:v>
      </x:c>
      <x:c r="P17" s="18" t="str">
        <x:v>Issue tree M1/G2</x:v>
      </x:c>
    </x:row>
    <x:row r="18" ht="51.75" customHeight="1">
      <x:c r="A18" s="21" t="str">
        <x:v>A05</x:v>
      </x:c>
      <x:c r="B18" s="19" t="str">
        <x:v>Model assumption</x:v>
      </x:c>
      <x:c r="C18" s="19" t="str">
        <x:v>Segment weights and evidence-based fit scores</x:v>
      </x:c>
      <x:c r="D18" s="19" t="str">
        <x:v>Proposed scoring weights need review. Change one weight by ±10 percentage points and proportionally renormalise others.</x:v>
      </x:c>
      <x:c r="E18" s="19" t="str">
        <x:v>Open</x:v>
      </x:c>
      <x:c r="F18" s="19" t="str">
        <x:v>Medium/High</x:v>
      </x:c>
      <x:c r="G18" s="19" t="str">
        <x:v>Yufei Li</x:v>
      </x:c>
      <x:c r="H18" s="19" t="str">
        <x:v>W2</x:v>
      </x:c>
      <x:c r="I18" s="19" t="str">
        <x:v>Propose criterion weights, score against evidence and move each weight ±10 percentage points with renormalisation.</x:v>
      </x:c>
      <x:c r="J18" s="19" t="str">
        <x:v>Internship programme plan; Issue tree and analysis plan</x:v>
      </x:c>
      <x:c r="K18" s="19" t="str">
        <x:v>Issue tree Beachhead segment choice</x:v>
      </x:c>
      <x:c r="L18" s="19" t="str">
        <x:v>Not yet quantified</x:v>
      </x:c>
      <x:c r="M18" s="19" t="str">
        <x:v>Changes sizing, ranking or the business-case conclusion.</x:v>
      </x:c>
      <x:c r="N18" s="19" t="str">
        <x:v>Proposed scoring weights need review. Change one weight by ±10 percentage points and proportionally renormalise others.</x:v>
      </x:c>
      <x:c r="O18" s="19" t="str">
        <x:v>I1; I3</x:v>
      </x:c>
      <x:c r="P18" s="19" t="str">
        <x:v>Issue tree M2</x:v>
      </x:c>
    </x:row>
    <x:row r="19" ht="51.75" customHeight="1">
      <x:c r="A19" s="20" t="str">
        <x:v>A06</x:v>
      </x:c>
      <x:c r="B19" s="18" t="str">
        <x:v>Model assumption</x:v>
      </x:c>
      <x:c r="C19" s="18" t="str">
        <x:v>Hardware, installation and service cost ranges</x:v>
      </x:c>
      <x:c r="D19" s="18" t="str">
        <x:v>Use public peer evidence only as a benchmark. InGen cost and margin remain estimates.</x:v>
      </x:c>
      <x:c r="E19" s="18" t="str">
        <x:v>Open</x:v>
      </x:c>
      <x:c r="F19" s="18" t="str">
        <x:v>High</x:v>
      </x:c>
      <x:c r="G19" s="18" t="str">
        <x:v>Yufei Li</x:v>
      </x:c>
      <x:c r="H19" s="18" t="str">
        <x:v>W3, refine W5</x:v>
      </x:c>
      <x:c r="I19" s="18" t="str">
        <x:v>Use Peer financial benchmark peer observations as benchmarks. Test hardware, installation and service-cost ranges with separate cash-flow timing.</x:v>
      </x:c>
      <x:c r="J19" s="18" t="str">
        <x:v>Knightscope annual report (2025); Peer annual filings</x:v>
      </x:c>
      <x:c r="K19" s="18" t="str">
        <x:v>Issue tree Peer financial benchmark/InGen unit economics</x:v>
      </x:c>
      <x:c r="L19" s="18" t="str">
        <x:v>Not yet quantified</x:v>
      </x:c>
      <x:c r="M19" s="18" t="str">
        <x:v>Changes sizing, ranking or the business-case conclusion.</x:v>
      </x:c>
      <x:c r="N19" s="18" t="str">
        <x:v>Use public peer evidence only as a benchmark. InGen cost and margin remain estimates.</x:v>
      </x:c>
      <x:c r="O19" s="18" t="str">
        <x:v>S11; P05</x:v>
      </x:c>
      <x:c r="P19" s="18" t="str">
        <x:v>Issue tree C2/E2</x:v>
      </x:c>
    </x:row>
    <x:row r="20" ht="46.5" customHeight="1">
      <x:c r="A20" s="21" t="str">
        <x:v>A07</x:v>
      </x:c>
      <x:c r="B20" s="19" t="str">
        <x:v>Model assumption</x:v>
      </x:c>
      <x:c r="C20" s="19" t="str">
        <x:v>Uptime, human supervision and retained guard coverage</x:v>
      </x:c>
      <x:c r="D20" s="19" t="str">
        <x:v>Public evidence supports a bounded workflow hypothesis. Sensitivity sets pilot measurement priorities.</x:v>
      </x:c>
      <x:c r="E20" s="19" t="str">
        <x:v>Open</x:v>
      </x:c>
      <x:c r="F20" s="19" t="str">
        <x:v>High</x:v>
      </x:c>
      <x:c r="G20" s="19" t="str">
        <x:v>Yufei Li</x:v>
      </x:c>
      <x:c r="H20" s="19" t="str">
        <x:v>W4–5</x:v>
      </x:c>
      <x:c r="I20" s="19" t="str">
        <x:v>Map retained response and monitoring effort, uptime and intervention. Link the sensitive drivers to proposed pilot KPIs.</x:v>
      </x:c>
      <x:c r="J20" s="19" t="str">
        <x:v>BLS security-guard duties; Buyer and user evidence</x:v>
      </x:c>
      <x:c r="K20" s="19" t="str">
        <x:v>Issue tree Adoption and readiness/Customer ROI</x:v>
      </x:c>
      <x:c r="L20" s="19" t="str">
        <x:v>Not yet quantified</x:v>
      </x:c>
      <x:c r="M20" s="19" t="str">
        <x:v>Changes sizing, ranking or the business-case conclusion.</x:v>
      </x:c>
      <x:c r="N20" s="19" t="str">
        <x:v>Public evidence supports a bounded workflow hypothesis. Sensitivity sets pilot measurement priorities.</x:v>
      </x:c>
      <x:c r="O20" s="19" t="str">
        <x:v>S4; P03</x:v>
      </x:c>
      <x:c r="P20" s="19" t="str">
        <x:v>Issue tree G1/E1</x:v>
      </x:c>
    </x:row>
    <x:row r="21" ht="46.5" customHeight="1">
      <x:c r="A21" s="20" t="str">
        <x:v>A08</x:v>
      </x:c>
      <x:c r="B21" s="18" t="str">
        <x:v>Model assumption</x:v>
      </x:c>
      <x:c r="C21" s="18" t="str">
        <x:v>Price, contract terms and channel acquisition cost</x:v>
      </x:c>
      <x:c r="D21" s="18" t="str">
        <x:v>Compare commercial models with explicit price/cost ranges and partner economics.</x:v>
      </x:c>
      <x:c r="E21" s="18" t="str">
        <x:v>Open</x:v>
      </x:c>
      <x:c r="F21" s="18" t="str">
        <x:v>High</x:v>
      </x:c>
      <x:c r="G21" s="18" t="str">
        <x:v>Yufei Li</x:v>
      </x:c>
      <x:c r="H21" s="18" t="str">
        <x:v>W5–6</x:v>
      </x:c>
      <x:c r="I21" s="18" t="str">
        <x:v>Compare sale/lease/RaaS and feasible software terms, including partner/CAC cost and price sensitivity.</x:v>
      </x:c>
      <x:c r="J21" s="18" t="str">
        <x:v>Issue tree and analysis plan; buyer, competitor and annual-filing evidence</x:v>
      </x:c>
      <x:c r="K21" s="18" t="str">
        <x:v>Issue tree InGen unit economics/Channel and pilot evidence</x:v>
      </x:c>
      <x:c r="L21" s="18" t="str">
        <x:v>Not yet quantified</x:v>
      </x:c>
      <x:c r="M21" s="18" t="str">
        <x:v>Changes sizing, ranking or the business-case conclusion.</x:v>
      </x:c>
      <x:c r="N21" s="18" t="str">
        <x:v>Compare commercial models with explicit price/cost ranges and partner economics.</x:v>
      </x:c>
      <x:c r="O21" s="18" t="str">
        <x:v>I3; P03–P05</x:v>
      </x:c>
      <x:c r="P21" s="18" t="str">
        <x:v>Issue tree E2/G2</x:v>
      </x:c>
    </x:row>
    <x:row r="22" ht="51.75" customHeight="1">
      <x:c r="A22" s="21" t="str">
        <x:v>A09</x:v>
      </x:c>
      <x:c r="B22" s="19" t="str">
        <x:v>Stakeholder assumption</x:v>
      </x:c>
      <x:c r="C22" s="19" t="str">
        <x:v>Initial power and interest placement</x:v>
      </x:c>
      <x:c r="D22" s="19" t="str">
        <x:v>Who can fund, approve, delay or stop a pilot, and whose interest changes during qualification?</x:v>
      </x:c>
      <x:c r="E22" s="19" t="str">
        <x:v>Open</x:v>
      </x:c>
      <x:c r="F22" s="19" t="str">
        <x:v>High</x:v>
      </x:c>
      <x:c r="G22" s="19" t="str">
        <x:v>Yufei Li</x:v>
      </x:c>
      <x:c r="H22" s="19" t="str">
        <x:v>W1 review, refine W4</x:v>
      </x:c>
      <x:c r="I22" s="19" t="str">
        <x:v>Review the role map with the supervisor. Refine using public buyer procedures and any approved discovery.</x:v>
      </x:c>
      <x:c r="J22" s="19" t="str">
        <x:v>BLS security-guard duties; NIST governance playbook; O*NET security-manager duties; O*NET facilities-manager duties; Stakeholder map</x:v>
      </x:c>
      <x:c r="K22" s="19" t="str">
        <x:v>Stakeholder map; Adoption and readiness</x:v>
      </x:c>
      <x:c r="L22" s="19" t="str">
        <x:v>Proposed role/authority judgement</x:v>
      </x:c>
      <x:c r="M22" s="19" t="str">
        <x:v>Changes role placement, access or approval timing.</x:v>
      </x:c>
      <x:c r="N22" s="19" t="str">
        <x:v>Review the role map with the supervisor. Refine using public buyer procedures and any approved discovery.</x:v>
      </x:c>
      <x:c r="O22" s="19" t="str">
        <x:v>S4; S5a; S7; S8; I4</x:v>
      </x:c>
      <x:c r="P22" s="19" t="str">
        <x:v>Stakeholder map; G1</x:v>
      </x:c>
    </x:row>
    <x:row r="23" ht="51.75" customHeight="1">
      <x:c r="A23" s="20" t="str">
        <x:v>A10</x:v>
      </x:c>
      <x:c r="B23" s="18" t="str">
        <x:v>Stakeholder assumption</x:v>
      </x:c>
      <x:c r="C23" s="18" t="str">
        <x:v>Buyer budget and approval delegation</x:v>
      </x:c>
      <x:c r="D23" s="18" t="str">
        <x:v>Does the Security Director or VP Facilities control the relevant budget and have signing authority?</x:v>
      </x:c>
      <x:c r="E23" s="18" t="str">
        <x:v>Open</x:v>
      </x:c>
      <x:c r="F23" s="18" t="str">
        <x:v>High</x:v>
      </x:c>
      <x:c r="G23" s="18" t="str">
        <x:v>Yufei Li</x:v>
      </x:c>
      <x:c r="H23" s="18" t="str">
        <x:v>W4</x:v>
      </x:c>
      <x:c r="I23" s="18" t="str">
        <x:v>Check procurement rules, contract thresholds, renewal triggers, site ownership and IT/risk approvals.</x:v>
      </x:c>
      <x:c r="J23" s="18" t="str">
        <x:v>BLS security-guard duties; NIST governance playbook; O*NET security-manager duties; O*NET facilities-manager duties; Stakeholder map</x:v>
      </x:c>
      <x:c r="K23" s="18" t="str">
        <x:v>Stakeholder map; Adoption and readiness/Customer ROI</x:v>
      </x:c>
      <x:c r="L23" s="18" t="str">
        <x:v>Proposed role/authority judgement</x:v>
      </x:c>
      <x:c r="M23" s="18" t="str">
        <x:v>Changes role placement, access or approval timing.</x:v>
      </x:c>
      <x:c r="N23" s="18" t="str">
        <x:v>Check procurement rules, contract thresholds, renewal triggers, site ownership and IT/risk approvals.</x:v>
      </x:c>
      <x:c r="O23" s="18" t="str">
        <x:v>S4; S5a; S7; S8; I4</x:v>
      </x:c>
      <x:c r="P23" s="18" t="str">
        <x:v>Stakeholder map; G1/E1</x:v>
      </x:c>
    </x:row>
    <x:row r="24" ht="46.5" customHeight="1">
      <x:c r="A24" s="21" t="str">
        <x:v>A11</x:v>
      </x:c>
      <x:c r="B24" s="19" t="str">
        <x:v>Stakeholder assumption</x:v>
      </x:c>
      <x:c r="C24" s="19" t="str">
        <x:v>Programme RACI and functional reviewers</x:v>
      </x:c>
      <x:c r="D24" s="19" t="str">
        <x:v>Which named product and sales reviewers can provide input, and who accepts each work product?</x:v>
      </x:c>
      <x:c r="E24" s="19" t="str">
        <x:v>Open</x:v>
      </x:c>
      <x:c r="F24" s="19" t="str">
        <x:v>Medium</x:v>
      </x:c>
      <x:c r="G24" s="19" t="str">
        <x:v>Yufei Li</x:v>
      </x:c>
      <x:c r="H24" s="19" t="str">
        <x:v>W1 scope review</x:v>
      </x:c>
      <x:c r="I24" s="19" t="str">
        <x:v>Supervisor confirms the proposed RACI and access to reviewers. Record any delegated acceptance authority.</x:v>
      </x:c>
      <x:c r="J24" s="19" t="str">
        <x:v>Internship programme plan; Stakeholder map; UK government RACI guidance</x:v>
      </x:c>
      <x:c r="K24" s="19" t="str">
        <x:v>Stakeholder map; All programme leaves</x:v>
      </x:c>
      <x:c r="L24" s="19" t="str">
        <x:v>Proposed role/authority judgement</x:v>
      </x:c>
      <x:c r="M24" s="19" t="str">
        <x:v>Changes role placement, access or approval timing.</x:v>
      </x:c>
      <x:c r="N24" s="19" t="str">
        <x:v>Supervisor confirms the proposed RACI and access to reviewers. Record any delegated acceptance authority.</x:v>
      </x:c>
      <x:c r="O24" s="19" t="str">
        <x:v>I1; I4; S9</x:v>
      </x:c>
      <x:c r="P24" s="19" t="str">
        <x:v>Stakeholder map; All programme leaves</x:v>
      </x:c>
    </x:row>
    <x:row r="25" ht="51.75" customHeight="1">
      <x:c r="A25" s="20" t="str">
        <x:v>A12</x:v>
      </x:c>
      <x:c r="B25" s="18" t="str">
        <x:v>Stakeholder assumption</x:v>
      </x:c>
      <x:c r="C25" s="18" t="str">
        <x:v>Partner ownership and route to market</x:v>
      </x:c>
      <x:c r="D25" s="18" t="str">
        <x:v>Under a partner route, who owns the customer, service response, data and commercial risk?</x:v>
      </x:c>
      <x:c r="E25" s="18" t="str">
        <x:v>Open</x:v>
      </x:c>
      <x:c r="F25" s="18" t="str">
        <x:v>High</x:v>
      </x:c>
      <x:c r="G25" s="18" t="str">
        <x:v>Yufei Li</x:v>
      </x:c>
      <x:c r="H25" s="18" t="str">
        <x:v>W6</x:v>
      </x:c>
      <x:c r="I25" s="18" t="str">
        <x:v>Compare public channel evidence and model commercial responsibilities before recommending a route.</x:v>
      </x:c>
      <x:c r="J25" s="18" t="str">
        <x:v>BLS security-guard duties; NIST governance playbook; O*NET security-manager duties; O*NET facilities-manager duties; Stakeholder map</x:v>
      </x:c>
      <x:c r="K25" s="18" t="str">
        <x:v>Stakeholder map; Channel and pilot evidence/InGen unit economics</x:v>
      </x:c>
      <x:c r="L25" s="18" t="str">
        <x:v>Proposed role/authority judgement</x:v>
      </x:c>
      <x:c r="M25" s="18" t="str">
        <x:v>Changes channel cost, service ownership and partner influence.</x:v>
      </x:c>
      <x:c r="N25" s="18" t="str">
        <x:v>Compare public channel evidence and model commercial responsibilities before recommending a route.</x:v>
      </x:c>
      <x:c r="O25" s="18" t="str">
        <x:v>S4; S5a; S7; S8; I4</x:v>
      </x:c>
      <x:c r="P25" s="18" t="str">
        <x:v>Stakeholder map; G2/E2</x:v>
      </x:c>
    </x:row>
    <x:row r="26" ht="51.75" customHeight="1">
      <x:c r="A26" s="21" t="str">
        <x:v>A13</x:v>
      </x:c>
      <x:c r="B26" s="19" t="str">
        <x:v>Ranking judgement</x:v>
      </x:c>
      <x:c r="C26" s="19" t="str">
        <x:v>Provisional platform ranking</x:v>
      </x:c>
      <x:c r="D26" s="19" t="str">
        <x:v>Investigate Sentinel first, then Rover, Fari, Senpai and Humanoid for near-term commercial path clarity.</x:v>
      </x:c>
      <x:c r="E26" s="19" t="str">
        <x:v>Open</x:v>
      </x:c>
      <x:c r="F26" s="19" t="str">
        <x:v>High</x:v>
      </x:c>
      <x:c r="G26" s="19" t="str">
        <x:v>Yufei Li</x:v>
      </x:c>
      <x:c r="H26" s="19" t="str">
        <x:v>W2–6</x:v>
      </x:c>
      <x:c r="I26" s="19" t="str">
        <x:v>Revisit after market, readiness and economics tests. State the counterargument that a funded research project could transact earlier.</x:v>
      </x:c>
      <x:c r="J26" s="19" t="str">
        <x:v>Platform business brief; InGen website; InGen annual report (2025)</x:v>
      </x:c>
      <x:c r="K26" s="19" t="str">
        <x:v>Brief p6</x:v>
      </x:c>
      <x:c r="L26" s="19" t="str">
        <x:v>Qualitative order, not a scored market result</x:v>
      </x:c>
      <x:c r="M26" s="19" t="str">
        <x:v>Could reverse the investigation order. Fari/Senpai comparison is especially uncertain.</x:v>
      </x:c>
      <x:c r="N26" s="19" t="str">
        <x:v>Qualitative readiness, buyer clarity and delivery burden inform the initial ranking.</x:v>
      </x:c>
      <x:c r="O26" s="19" t="str">
        <x:v>I2; S1; S2</x:v>
      </x:c>
      <x:c r="P26" s="19" t="str">
        <x:v>Brief p6</x:v>
      </x:c>
    </x:row>
    <x:row r="27" ht="84" customHeight="1">
      <x:c r="A27" s="20" t="str">
        <x:v>A14</x:v>
      </x:c>
      <x:c r="B27" s="18" t="str">
        <x:v>Scope assumption</x:v>
      </x:c>
      <x:c r="C27" s="18" t="str">
        <x:v>Fari product/use-case alignment</x:v>
      </x:c>
      <x:c r="D27" s="18" t="str">
        <x:v>Use senior living as a working Fari context while current platform scope remains unconfirmed.</x:v>
      </x:c>
      <x:c r="E27" s="18" t="str">
        <x:v>Open</x:v>
      </x:c>
      <x:c r="F27" s="18" t="str">
        <x:v>High</x:v>
      </x:c>
      <x:c r="G27" s="18" t="str">
        <x:v>Yufei Li</x:v>
      </x:c>
      <x:c r="H27" s="18" t="str">
        <x:v>W1 scope check; refine W4</x:v>
      </x:c>
      <x:c r="I27" s="18" t="str">
        <x:v>Confirm the current Fari care configuration and target use case through the supervisor before building the business case. Refine facility economics in W4; revise or defer if care scope is unavailable.</x:v>
      </x:c>
      <x:c r="J27" s="18" t="str">
        <x:v>InGen website; InGen annual report (2025); Internship programme plan; Business-analysis concepts primer</x:v>
      </x:c>
      <x:c r="K27" s="18" t="str">
        <x:v>Brief p3; Fari facility economics; W04 note</x:v>
      </x:c>
      <x:c r="L27" s="18" t="str">
        <x:v>Unresolved source difference</x:v>
      </x:c>
      <x:c r="M27" s="18" t="str">
        <x:v>A wrong use case changes the buyer, alternatives and value measure.</x:v>
      </x:c>
      <x:c r="N27" s="18" t="str">
        <x:v>InGen website and InGen annual report (2025) describe different positioning. Internship programme plan/Business-analysis concepts primer select care as the secondary test.</x:v>
      </x:c>
      <x:c r="O27" s="18" t="str">
        <x:v>S1; S2; I1; I1a</x:v>
      </x:c>
      <x:c r="P27" s="18" t="str">
        <x:v>Brief p3; H03; W04 note</x:v>
      </x:c>
    </x:row>
    <x:row r="28" ht="46.5" customHeight="1">
      <x:c r="A28" s="21" t="str">
        <x:v>A15</x:v>
      </x:c>
      <x:c r="B28" s="19" t="str">
        <x:v>Readiness assumption</x:v>
      </x:c>
      <x:c r="C28" s="19" t="str">
        <x:v>Sentinel commercial availability</x:v>
      </x:c>
      <x:c r="D28" s="19" t="str">
        <x:v>Keep standalone US availability and compatibility unverified despite the website’s operational label.</x:v>
      </x:c>
      <x:c r="E28" s="19" t="str">
        <x:v>Open</x:v>
      </x:c>
      <x:c r="F28" s="19" t="str">
        <x:v>High</x:v>
      </x:c>
      <x:c r="G28" s="19" t="str">
        <x:v>Yufei Li</x:v>
      </x:c>
      <x:c r="H28" s="19" t="str">
        <x:v>W1 gate, refine W4</x:v>
      </x:c>
      <x:c r="I28" s="19" t="str">
        <x:v>Confirm deliverable configuration, interfaces, supported environment and commercial terms through the supervisor.</x:v>
      </x:c>
      <x:c r="J28" s="19" t="str">
        <x:v>InGen website; InGen annual report (2025)</x:v>
      </x:c>
      <x:c r="K28" s="19" t="str">
        <x:v>Brief p2; Sentinel entry feasibility; Adoption and readiness/InGen unit economics</x:v>
      </x:c>
      <x:c r="L28" s="19" t="str">
        <x:v>Unresolved readiness question</x:v>
      </x:c>
      <x:c r="M28" s="19" t="str">
        <x:v>May remove the software-first option or delay a paid pilot.</x:v>
      </x:c>
      <x:c r="N28" s="19" t="str">
        <x:v>Website maturity wording and filing development language are insufficient for a live-offer conclusion.</x:v>
      </x:c>
      <x:c r="O28" s="19" t="str">
        <x:v>S1; S2</x:v>
      </x:c>
      <x:c r="P28" s="19" t="str">
        <x:v>Brief p2; H02; G1/E2</x:v>
      </x:c>
    </x:row>
    <x:row r="29" ht="75" customHeight="1">
      <x:c r="A29" s="20" t="str">
        <x:v>M1</x:v>
      </x:c>
      <x:c r="B29" s="18" t="str">
        <x:v>Issue hypothesis</x:v>
      </x:c>
      <x:c r="C29" s="18" t="str">
        <x:v>US patrol market size</x:v>
      </x:c>
      <x:c r="D29" s="18" t="str">
        <x:v>Only a subset of guard spend covers tasks and sites suitable for autonomous patrol.</x:v>
      </x:c>
      <x:c r="E29" s="18" t="str">
        <x:v>Open</x:v>
      </x:c>
      <x:c r="F29" s="18" t="str">
        <x:v>High</x:v>
      </x:c>
      <x:c r="G29" s="18" t="str">
        <x:v>Yufei Li</x:v>
      </x:c>
      <x:c r="H29" s="18" t="str">
        <x:v>W2</x:v>
      </x:c>
      <x:c r="I29" s="18" t="str">
        <x:v>Reconcile BLS headcount × loaded cost × patrol share with sites × guard spend × suitable share. Build annual TAM/SAM and sales-capacity-based three-year SOM.</x:v>
      </x:c>
      <x:c r="J29" s="18" t="str">
        <x:v>BLS OEWS; Census CBP; site, patrol-share, guard-cost and sales-capacity assumptions</x:v>
      </x:c>
      <x:c r="K29" s="18" t="str">
        <x:v>Issue tree US patrol market size</x:v>
      </x:c>
      <x:c r="L29" s="18" t="str">
        <x:v>Qualitative test hypothesis</x:v>
      </x:c>
      <x:c r="M29" s="18" t="str">
        <x:v>Revise the branch conclusion and connected recommendation if the test rejects it.</x:v>
      </x:c>
      <x:c r="N29" s="18" t="str">
        <x:v>Initial test hypothesis recorded in the issue tree.</x:v>
      </x:c>
      <x:c r="O29" s="18" t="str">
        <x:v>P01 BLS OEWS, P02 Census CBP, A01–A04</x:v>
      </x:c>
      <x:c r="P29" s="18" t="str">
        <x:v>Issue tree M1</x:v>
      </x:c>
    </x:row>
    <x:row r="30" ht="75" customHeight="1">
      <x:c r="A30" s="21" t="str">
        <x:v>M2</x:v>
      </x:c>
      <x:c r="B30" s="19" t="str">
        <x:v>Issue hypothesis</x:v>
      </x:c>
      <x:c r="C30" s="19" t="str">
        <x:v>Beachhead segment choice</x:v>
      </x:c>
      <x:c r="D30" s="19" t="str">
        <x:v>Controlled logistics sites may lead on pain and deployment ease, subject to evidence.</x:v>
      </x:c>
      <x:c r="E30" s="19" t="str">
        <x:v>Open</x:v>
      </x:c>
      <x:c r="F30" s="19" t="str">
        <x:v>High</x:v>
      </x:c>
      <x:c r="G30" s="19" t="str">
        <x:v>Yufei Li</x:v>
      </x:c>
      <x:c r="H30" s="19" t="str">
        <x:v>W2</x:v>
      </x:c>
      <x:c r="I30" s="19" t="str">
        <x:v>Score six site segments on six weighted criteria. Move each weight ±10 percentage points and renormalise. Report winner, runner-up, rank reversals and strongest counterargument.</x:v>
      </x:c>
      <x:c r="J30" s="19" t="str">
        <x:v>Market-sizing results; Census CBP; public tenders and site cases; segment weights and fit assumptions</x:v>
      </x:c>
      <x:c r="K30" s="19" t="str">
        <x:v>Issue tree Beachhead segment choice</x:v>
      </x:c>
      <x:c r="L30" s="19" t="str">
        <x:v>Qualitative test hypothesis</x:v>
      </x:c>
      <x:c r="M30" s="19" t="str">
        <x:v>Revise the branch conclusion and connected recommendation if the test rejects it.</x:v>
      </x:c>
      <x:c r="N30" s="19" t="str">
        <x:v>Initial test hypothesis recorded in the issue tree.</x:v>
      </x:c>
      <x:c r="O30" s="19" t="str">
        <x:v>M1 outputs, P02 CBP, P03 tenders/cases, A05 weights and fit</x:v>
      </x:c>
      <x:c r="P30" s="19" t="str">
        <x:v>Issue tree M2</x:v>
      </x:c>
    </x:row>
    <x:row r="31" ht="75" customHeight="1">
      <x:c r="A31" s="20" t="str">
        <x:v>C1</x:v>
      </x:c>
      <x:c r="B31" s="18" t="str">
        <x:v>Issue hypothesis</x:v>
      </x:c>
      <x:c r="C31" s="18" t="str">
        <x:v>Alternatives and differentiation</x:v>
      </x:c>
      <x:c r="D31" s="18" t="str">
        <x:v>Rover/Sentinel may win where fixed monitoring leaves coverage and escalation gaps.</x:v>
      </x:c>
      <x:c r="E31" s="18" t="str">
        <x:v>Open</x:v>
      </x:c>
      <x:c r="F31" s="18" t="str">
        <x:v>High</x:v>
      </x:c>
      <x:c r="G31" s="18" t="str">
        <x:v>Yufei Li</x:v>
      </x:c>
      <x:c r="H31" s="18" t="str">
        <x:v>W3</x:v>
      </x:c>
      <x:c r="I31" s="18" t="str">
        <x:v>Compare 8–12 robot vendors and substitutes on one site workflow. Benchmark capability, price basis, US support and evidence quality. Distinguish claims from demonstrated results.</x:v>
      </x:c>
      <x:c r="J31" s="18" t="str">
        <x:v>Official vendor offer and support records; public tenders and operator cases; InGen website</x:v>
      </x:c>
      <x:c r="K31" s="18" t="str">
        <x:v>Issue tree Alternatives and differentiation</x:v>
      </x:c>
      <x:c r="L31" s="18" t="str">
        <x:v>Qualitative test hypothesis</x:v>
      </x:c>
      <x:c r="M31" s="18" t="str">
        <x:v>Revise the branch conclusion and connected recommendation if the test rejects it.</x:v>
      </x:c>
      <x:c r="N31" s="18" t="str">
        <x:v>Initial test hypothesis recorded in the issue tree.</x:v>
      </x:c>
      <x:c r="O31" s="18" t="str">
        <x:v>P03 tenders/cases, P04 vendor sources, S1 InGen portfolio</x:v>
      </x:c>
      <x:c r="P31" s="18" t="str">
        <x:v>Issue tree C1</x:v>
      </x:c>
    </x:row>
    <x:row r="32" ht="75" customHeight="1">
      <x:c r="A32" s="21" t="str">
        <x:v>C2</x:v>
      </x:c>
      <x:c r="B32" s="19" t="str">
        <x:v>Issue hypothesis</x:v>
      </x:c>
      <x:c r="C32" s="19" t="str">
        <x:v>Peer financial benchmark</x:v>
      </x:c>
      <x:c r="D32" s="19" t="str">
        <x:v>Hardware funding and service costs may weaken recurring-revenue economics.</x:v>
      </x:c>
      <x:c r="E32" s="19" t="str">
        <x:v>Open</x:v>
      </x:c>
      <x:c r="F32" s="19" t="str">
        <x:v>High</x:v>
      </x:c>
      <x:c r="G32" s="19" t="str">
        <x:v>Yufei Li</x:v>
      </x:c>
      <x:c r="H32" s="19" t="str">
        <x:v>W3</x:v>
      </x:c>
      <x:c r="I32" s="19" t="str">
        <x:v>Analyse 2–3 years of peer filings for revenue mix, margin, cash burn, concentration and unit metrics. Set benchmark ranges for InGen cost and funding assumptions.</x:v>
      </x:c>
      <x:c r="J32" s="19" t="str">
        <x:v>SEC / HKEX peer annual filings; original Chinese disclosures; hardware and service cost assumptions</x:v>
      </x:c>
      <x:c r="K32" s="19" t="str">
        <x:v>Issue tree Peer financial benchmark</x:v>
      </x:c>
      <x:c r="L32" s="19" t="str">
        <x:v>Qualitative test hypothesis</x:v>
      </x:c>
      <x:c r="M32" s="19" t="str">
        <x:v>Revise the branch conclusion and connected recommendation if the test rejects it.</x:v>
      </x:c>
      <x:c r="N32" s="19" t="str">
        <x:v>Initial test hypothesis recorded in the issue tree.</x:v>
      </x:c>
      <x:c r="O32" s="19" t="str">
        <x:v>P05 SEC/HKEX filings, P04 Chinese originals, A06 cost ranges</x:v>
      </x:c>
      <x:c r="P32" s="19" t="str">
        <x:v>Issue tree C2</x:v>
      </x:c>
    </x:row>
    <x:row r="33" ht="75" customHeight="1">
      <x:c r="A33" s="20" t="str">
        <x:v>E1</x:v>
      </x:c>
      <x:c r="B33" s="18" t="str">
        <x:v>Issue hypothesis</x:v>
      </x:c>
      <x:c r="C33" s="18" t="str">
        <x:v>Customer ROI</x:v>
      </x:c>
      <x:c r="D33" s="18" t="str">
        <x:v>Savings depend on removable tasks after accounting for retained human coverage.</x:v>
      </x:c>
      <x:c r="E33" s="18" t="str">
        <x:v>Open</x:v>
      </x:c>
      <x:c r="F33" s="18" t="str">
        <x:v>High</x:v>
      </x:c>
      <x:c r="G33" s="18" t="str">
        <x:v>Yufei Li</x:v>
      </x:c>
      <x:c r="H33" s="18" t="str">
        <x:v>W5</x:v>
      </x:c>
      <x:c r="I33" s="18" t="str">
        <x:v>Compare three-year TCO, including installation, monitoring and residual guards. Calculate annual saving, payback and break-even removable hours. Stress uptime and supervision.</x:v>
      </x:c>
      <x:c r="J33" s="18" t="str">
        <x:v>BLS guard wages and duties; public workflow evidence; W4 process maps; patrol share, supervision and retained coverage assumptions</x:v>
      </x:c>
      <x:c r="K33" s="18" t="str">
        <x:v>Issue tree Customer ROI</x:v>
      </x:c>
      <x:c r="L33" s="18" t="str">
        <x:v>Qualitative test hypothesis</x:v>
      </x:c>
      <x:c r="M33" s="18" t="str">
        <x:v>Revise the branch conclusion and connected recommendation if the test rejects it.</x:v>
      </x:c>
      <x:c r="N33" s="18" t="str">
        <x:v>Initial test hypothesis recorded in the issue tree.</x:v>
      </x:c>
      <x:c r="O33" s="18" t="str">
        <x:v>P01 BLS, P03 workflows, W04 process maps, A02–A03, A07</x:v>
      </x:c>
      <x:c r="P33" s="18" t="str">
        <x:v>Issue tree E1</x:v>
      </x:c>
    </x:row>
    <x:row r="34" ht="75" customHeight="1">
      <x:c r="A34" s="21" t="str">
        <x:v>E2</x:v>
      </x:c>
      <x:c r="B34" s="19" t="str">
        <x:v>Issue hypothesis</x:v>
      </x:c>
      <x:c r="C34" s="19" t="str">
        <x:v>InGen unit economics</x:v>
      </x:c>
      <x:c r="D34" s="19" t="str">
        <x:v>RaaS may improve budget fit while increasing InGen’s working-capital needs.</x:v>
      </x:c>
      <x:c r="E34" s="19" t="str">
        <x:v>Open</x:v>
      </x:c>
      <x:c r="F34" s="19" t="str">
        <x:v>High</x:v>
      </x:c>
      <x:c r="G34" s="19" t="str">
        <x:v>Yufei Li</x:v>
      </x:c>
      <x:c r="H34" s="19" t="str">
        <x:v>W5</x:v>
      </x:c>
      <x:c r="I34" s="19" t="str">
        <x:v>Compare sale, lease and RaaS cash flow, contribution and CAC payback. Test standalone Sentinel if readiness permits. Run three scenarios and rank price/cost sensitivities.</x:v>
      </x:c>
      <x:c r="J34" s="19" t="str">
        <x:v>Peer financial benchmark; InGen annual report; hardware, support, price and contract assumptions</x:v>
      </x:c>
      <x:c r="K34" s="19" t="str">
        <x:v>Issue tree InGen unit economics</x:v>
      </x:c>
      <x:c r="L34" s="19" t="str">
        <x:v>Qualitative test hypothesis</x:v>
      </x:c>
      <x:c r="M34" s="19" t="str">
        <x:v>Revise the branch conclusion and connected recommendation if the test rejects it.</x:v>
      </x:c>
      <x:c r="N34" s="19" t="str">
        <x:v>Initial test hypothesis recorded in the issue tree.</x:v>
      </x:c>
      <x:c r="O34" s="19" t="str">
        <x:v>C2 benchmark, S2 InGen Form C-AR, A06–A08</x:v>
      </x:c>
      <x:c r="P34" s="19" t="str">
        <x:v>Issue tree E2</x:v>
      </x:c>
    </x:row>
    <x:row r="35" ht="75" customHeight="1">
      <x:c r="A35" s="20" t="str">
        <x:v>G1</x:v>
      </x:c>
      <x:c r="B35" s="18" t="str">
        <x:v>Issue hypothesis</x:v>
      </x:c>
      <x:c r="C35" s="18" t="str">
        <x:v>Adoption and readiness</x:v>
      </x:c>
      <x:c r="D35" s="18" t="str">
        <x:v>Readiness, integration and operating ownership may delay purchase more than awareness.</x:v>
      </x:c>
      <x:c r="E35" s="18" t="str">
        <x:v>Open</x:v>
      </x:c>
      <x:c r="F35" s="18" t="str">
        <x:v>High</x:v>
      </x:c>
      <x:c r="G35" s="18" t="str">
        <x:v>Yufei Li</x:v>
      </x:c>
      <x:c r="H35" s="18" t="str">
        <x:v>W4</x:v>
      </x:c>
      <x:c r="I35" s="18" t="str">
        <x:v>Map buyer, SOC user and approver across the buying journey. Define readiness, safety, privacy, VMS integration and human escalation gates in the BRD. Test Rover and Sentinel feasibility.</x:v>
      </x:c>
      <x:c r="J35" s="18" t="str">
        <x:v>InGen website; public jobs, tenders and cases; NIST guidance; Rover and Sentinel feasibility and human-oversight assumptions</x:v>
      </x:c>
      <x:c r="K35" s="18" t="str">
        <x:v>Issue tree Adoption and readiness</x:v>
      </x:c>
      <x:c r="L35" s="18" t="str">
        <x:v>Qualitative test hypothesis</x:v>
      </x:c>
      <x:c r="M35" s="18" t="str">
        <x:v>Revise the branch conclusion and connected recommendation if the test rejects it.</x:v>
      </x:c>
      <x:c r="N35" s="18" t="str">
        <x:v>Initial test hypothesis recorded in the issue tree.</x:v>
      </x:c>
      <x:c r="O35" s="18" t="str">
        <x:v>S1, P03 jobs/tenders/cases, P06 NIST guidance, H01–H02, A07</x:v>
      </x:c>
      <x:c r="P35" s="18" t="str">
        <x:v>Issue tree G1</x:v>
      </x:c>
    </x:row>
    <x:row r="36" ht="78.75" customHeight="1">
      <x:c r="A36" s="21" t="str">
        <x:v>G2</x:v>
      </x:c>
      <x:c r="B36" s="19" t="str">
        <x:v>Issue hypothesis</x:v>
      </x:c>
      <x:c r="C36" s="19" t="str">
        <x:v>Channel and pilot evidence</x:v>
      </x:c>
      <x:c r="D36" s="19" t="str">
        <x:v>An integrator-assisted pilot may ease access if partner costs and delivery permit.</x:v>
      </x:c>
      <x:c r="E36" s="19" t="str">
        <x:v>Open</x:v>
      </x:c>
      <x:c r="F36" s="19" t="str">
        <x:v>High</x:v>
      </x:c>
      <x:c r="G36" s="19" t="str">
        <x:v>Yufei Li</x:v>
      </x:c>
      <x:c r="H36" s="19" t="str">
        <x:v>W6</x:v>
      </x:c>
      <x:c r="I36" s="19" t="str">
        <x:v>Compare direct, integrator and guard-service routes on CAC, margin and ownership. Tie 12-week pilot KPIs to Customer ROI/InGen unit economics sensitivities. Set pass/fail gates and 90-day milestones.</x:v>
      </x:c>
      <x:c r="J36" s="19" t="str">
        <x:v>Segment, competitor, readiness and economics results; channel evidence; sales capacity, acquisition cost and contract assumptions</x:v>
      </x:c>
      <x:c r="K36" s="19" t="str">
        <x:v>Issue tree Channel and pilot evidence</x:v>
      </x:c>
      <x:c r="L36" s="19" t="str">
        <x:v>Qualitative test hypothesis</x:v>
      </x:c>
      <x:c r="M36" s="19" t="str">
        <x:v>Revise the branch conclusion and connected recommendation if the test rejects it.</x:v>
      </x:c>
      <x:c r="N36" s="19" t="str">
        <x:v>Initial test hypothesis recorded in the issue tree.</x:v>
      </x:c>
      <x:c r="O36" s="19" t="str">
        <x:v>M2, C1, G1, E1/E2 outputs, P03/P04 channel evidence, A04, A08</x:v>
      </x:c>
      <x:c r="P36" s="19" t="str">
        <x:v>Issue tree G2</x:v>
      </x:c>
    </x:row>
  </x:sheetData>
  <x:conditionalFormatting sqref="E9:E36">
    <x:cfRule type="containsText" dxfId="0" priority="1" operator="containsText" text="Open"/>
  </x:conditionalFormatting>
  <x:dataValidations count="2">
    <x:dataValidation type="list" sqref="E9:E36">
      <x:formula1>"Open,Validated,Revised"</x:formula1>
    </x:dataValidation>
    <x:dataValidation type="list" sqref="F9:F36">
      <x:formula1>"High,Medium,Low,Medium/High"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950e4df35f4aae"/>
  </x:tableParts>
</x:worksheet>
</file>

<file path=xl/worksheets/sheet2.xml><?xml version="1.0" encoding="utf-8"?>
<x:worksheet xmlns:x="http://schemas.openxmlformats.org/spreadsheetml/2006/main">
  <x:sheetPr>
    <x:tabColor rgb="FF173B5E"/>
    <x:outlinePr summaryRight="1" showOutlineSymbols="1"/>
  </x:sheetPr>
  <x:sheetViews>
    <x:sheetView showGridLines="0" workbookViewId="0" showOutlineSymbols="1">
      <x:pane xSplit="3" ySplit="8" topLeftCell="D9" activePane="bottomRight" state="frozen"/>
    </x:sheetView>
  </x:sheetViews>
  <x:sheetFormatPr defaultRowHeight="15" outlineLevelCol="1"/>
  <x:cols>
    <x:col min="1" max="1" width="10" hidden="1" customWidth="1" outlineLevel="1"/>
    <x:col min="2" max="2" width="10" hidden="1" customWidth="1" outlineLevel="1"/>
    <x:col min="3" max="3" width="14.4399995803833" hidden="0" customWidth="1" collapsed="1"/>
    <x:col min="4" max="4" width="23.329999923706055" hidden="0" customWidth="1"/>
    <x:col min="5" max="5" width="62.220001220703125" hidden="0" customWidth="1"/>
    <x:col min="6" max="6" width="48.88999938964844" hidden="0" customWidth="1"/>
    <x:col min="7" max="7" width="54.439998626708984" hidden="0" customWidth="1"/>
    <x:col min="8" max="8" width="50" hidden="0" customWidth="1"/>
    <x:col min="9" max="9" width="15.5600004196167" hidden="0" customWidth="1"/>
    <x:col min="10" max="10" width="12.220000267028809" hidden="0" customWidth="1"/>
    <x:col min="11" max="11" width="12.220000267028809" hidden="0" customWidth="1"/>
    <x:col min="12" max="12" width="20" hidden="0" customWidth="1"/>
    <x:col min="13" max="13" width="28.889999389648438" hidden="1" customWidth="1" outlineLevel="1"/>
    <x:col min="14" max="14" width="16" customWidth="1" collapsed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/>
      <x:c r="B2" s="2"/>
      <x:c r="C2" s="3" t="str">
        <x:v>Platform profile assumptions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18.75" customHeight="1">
      <x:c r="A3" s="4"/>
      <x:c r="B3" s="2"/>
      <x:c r="C3" s="4" t="str">
        <x:v>InGen Dynamics. Week 1 evidence base. Yufei Li. Reviewed 27 October 2026.</x:v>
      </x:c>
      <x:c r="D3" s="2"/>
      <x:c r="E3" s="2"/>
      <x:c r="F3" s="2"/>
      <x:c r="G3" s="2"/>
      <x:c r="H3" s="2"/>
      <x:c r="I3" s="2"/>
      <x:c r="J3" s="2"/>
      <x:c r="K3" s="2"/>
      <x:c r="L3" s="2"/>
    </x:row>
    <x:row r="4" ht="18.75" customHeight="1">
      <x:c r="A4" s="5"/>
      <x:c r="B4" s="2"/>
      <x:c r="C4" s="5" t="str">
        <x:v>The five platform profiles retain their buyer, user, alternative, revenue and adoption assumptions, with a specific validation test for each.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 t="str">
        <x:v>Detail rows</x:v>
      </x:c>
      <x:c r="B5" s="23"/>
      <x:c r="C5" s="25" t="n">
        <x:f>COUNTA(A9:A28)</x:f>
        <x:v>20</x:v>
      </x:c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43.5" customHeight="1">
      <x:c r="A8" s="14" t="str">
        <x:v>Detail reference</x:v>
      </x:c>
      <x:c r="B8" s="15" t="str">
        <x:v>Parent reference</x:v>
      </x:c>
      <x:c r="C8" s="15" t="str">
        <x:v>Platform</x:v>
      </x:c>
      <x:c r="D8" s="15" t="str">
        <x:v>Commercial field</x:v>
      </x:c>
      <x:c r="E8" s="15" t="str">
        <x:v>Working assumption</x:v>
      </x:c>
      <x:c r="F8" s="15" t="str">
        <x:v>Why plausible / limit</x:v>
      </x:c>
      <x:c r="G8" s="15" t="str">
        <x:v>Specific validation</x:v>
      </x:c>
      <x:c r="H8" s="15" t="str">
        <x:v>Supporting sources</x:v>
      </x:c>
      <x:c r="I8" s="15" t="str">
        <x:v>Owner</x:v>
      </x:c>
      <x:c r="J8" s="15" t="str">
        <x:v>Sensitivity</x:v>
      </x:c>
      <x:c r="K8" s="15" t="str">
        <x:v>Status</x:v>
      </x:c>
      <x:c r="L8" s="16" t="str">
        <x:v>Expected answer</x:v>
      </x:c>
      <x:c r="M8" t="str">
        <x:v>Original source references</x:v>
      </x:c>
    </x:row>
    <x:row r="9" ht="51.75" customHeight="1">
      <x:c r="A9" s="20" t="str">
        <x:v>H01a</x:v>
      </x:c>
      <x:c r="B9" s="18" t="str">
        <x:v>H01</x:v>
      </x:c>
      <x:c r="C9" s="18" t="str">
        <x:v>Rover</x:v>
      </x:c>
      <x:c r="D9" s="18" t="str">
        <x:v>Buyer / budget / trigger</x:v>
      </x:c>
      <x:c r="E9" s="18" t="str">
        <x:v>Security Director or VP Facilities at a logistics/site owner. Security OpEx for RaaS or equipment CapEx for sale. Trigger: renewal, missed rounds or added coverage.</x:v>
      </x:c>
      <x:c r="F9" s="18" t="str">
        <x:v>The role aligns with site security responsibilities. Amount and signatory remain unknown.</x:v>
      </x:c>
      <x:c r="G9" s="18" t="str">
        <x:v>Check budget ownership, contract cycle and approval thresholds.</x:v>
      </x:c>
      <x:c r="H9" s="18" t="str">
        <x:v>BLS security-guard duties; O*NET security-manager duties; O*NET facilities-manager duties; Business-analysis concepts primer</x:v>
      </x:c>
      <x:c r="I9" s="18" t="str">
        <x:v>Yufei Li</x:v>
      </x:c>
      <x:c r="J9" s="18" t="str">
        <x:v>High</x:v>
      </x:c>
      <x:c r="K9" s="18" t="str">
        <x:v>Open</x:v>
      </x:c>
      <x:c r="L9" s="18" t="str">
        <x:v>W4–5</x:v>
      </x:c>
      <x:c r="M9" s="18" t="str">
        <x:v>S4; S7; S8; I1a</x:v>
      </x:c>
    </x:row>
    <x:row r="10" ht="46.5" customHeight="1">
      <x:c r="A10" s="21" t="str">
        <x:v>H01b</x:v>
      </x:c>
      <x:c r="B10" s="19" t="str">
        <x:v>H01</x:v>
      </x:c>
      <x:c r="C10" s="19" t="str">
        <x:v>Rover</x:v>
      </x:c>
      <x:c r="D10" s="19" t="str">
        <x:v>User / primary alternative</x:v>
      </x:c>
      <x:c r="E10" s="19" t="str">
        <x:v>SOC staff monitor outputs, guards respond and recover exceptions. The primary comparator is contracted outdoor guard rounds.</x:v>
      </x:c>
      <x:c r="F10" s="19" t="str">
        <x:v>Patrol and response have different roles and cannot be assumed interchangeable.</x:v>
      </x:c>
      <x:c r="G10" s="19" t="str">
        <x:v>Map one shift and retained work. Confirm charging/maintenance ownership.</x:v>
      </x:c>
      <x:c r="H10" s="19" t="str">
        <x:v>BLS security-guard duties; Business-analysis concepts primer</x:v>
      </x:c>
      <x:c r="I10" s="19" t="str">
        <x:v>Yufei Li</x:v>
      </x:c>
      <x:c r="J10" s="19" t="str">
        <x:v>High</x:v>
      </x:c>
      <x:c r="K10" s="19" t="str">
        <x:v>Open</x:v>
      </x:c>
      <x:c r="L10" s="19" t="str">
        <x:v>W4–5</x:v>
      </x:c>
      <x:c r="M10" s="19" t="str">
        <x:v>S4; I1a</x:v>
      </x:c>
    </x:row>
    <x:row r="11" ht="46.5" customHeight="1">
      <x:c r="A11" s="20" t="str">
        <x:v>H01c</x:v>
      </x:c>
      <x:c r="B11" s="18" t="str">
        <x:v>H01</x:v>
      </x:c>
      <x:c r="C11" s="18" t="str">
        <x:v>Rover</x:v>
      </x:c>
      <x:c r="D11" s="18" t="str">
        <x:v>Revenue model</x:v>
      </x:c>
      <x:c r="E11" s="18" t="str">
        <x:v>A paid bounded pilot may lead to RaaS, with sale and lease as comparators.</x:v>
      </x:c>
      <x:c r="F11" s="18" t="str">
        <x:v>A service contract could reduce initial buyer ownership burden.</x:v>
      </x:c>
      <x:c r="G11" s="18" t="str">
        <x:v>Test full service cost, retained asset funding and buyer terms. No price assumed.</x:v>
      </x:c>
      <x:c r="H11" s="18" t="str">
        <x:v>InGen annual report (2025); Platform business brief</x:v>
      </x:c>
      <x:c r="I11" s="18" t="str">
        <x:v>Yufei Li</x:v>
      </x:c>
      <x:c r="J11" s="18" t="str">
        <x:v>High</x:v>
      </x:c>
      <x:c r="K11" s="18" t="str">
        <x:v>Open</x:v>
      </x:c>
      <x:c r="L11" s="18" t="str">
        <x:v>W4–5</x:v>
      </x:c>
      <x:c r="M11" s="18" t="str">
        <x:v>S2; I2</x:v>
      </x:c>
    </x:row>
    <x:row r="12" ht="46.5" customHeight="1">
      <x:c r="A12" s="21" t="str">
        <x:v>H01d</x:v>
      </x:c>
      <x:c r="B12" s="19" t="str">
        <x:v>H01</x:v>
      </x:c>
      <x:c r="C12" s="19" t="str">
        <x:v>Rover</x:v>
      </x:c>
      <x:c r="D12" s="19" t="str">
        <x:v>Primary adoption barrier</x:v>
      </x:c>
      <x:c r="E12" s="19" t="str">
        <x:v>Liability exposure from unreliable patrol execution may slow adoption.</x:v>
      </x:c>
      <x:c r="F12" s="19" t="str">
        <x:v>A missed patrol or failed escalation can undermine security coverage.</x:v>
      </x:c>
      <x:c r="G12" s="19" t="str">
        <x:v>Verify the operating envelope and failure/escalation responsibilities.</x:v>
      </x:c>
      <x:c r="H12" s="19" t="str">
        <x:v>BLS security-guard duties; NIST AI risk framework; Business-analysis concepts primer</x:v>
      </x:c>
      <x:c r="I12" s="19" t="str">
        <x:v>Yufei Li</x:v>
      </x:c>
      <x:c r="J12" s="19" t="str">
        <x:v>High</x:v>
      </x:c>
      <x:c r="K12" s="19" t="str">
        <x:v>Open</x:v>
      </x:c>
      <x:c r="L12" s="19" t="str">
        <x:v>W4–5</x:v>
      </x:c>
      <x:c r="M12" s="19" t="str">
        <x:v>S4; S5; I1a</x:v>
      </x:c>
    </x:row>
    <x:row r="13" ht="46.5" customHeight="1">
      <x:c r="A13" s="20" t="str">
        <x:v>H02a</x:v>
      </x:c>
      <x:c r="B13" s="18" t="str">
        <x:v>H02</x:v>
      </x:c>
      <x:c r="C13" s="18" t="str">
        <x:v>Sentinel</x:v>
      </x:c>
      <x:c r="D13" s="18" t="str">
        <x:v>Buyer / budget / trigger</x:v>
      </x:c>
      <x:c r="E13" s="18" t="str">
        <x:v>Security Director. Security software/monitoring budget plus integration allocation. Trigger: alert burden, missed event or system renewal.</x:v>
      </x:c>
      <x:c r="F13" s="18" t="str">
        <x:v>The buyer may fund an operational improvement, subject to IT and procurement review.</x:v>
      </x:c>
      <x:c r="G13" s="18" t="str">
        <x:v>Validate the buyer, allocation, signatory and renewal window.</x:v>
      </x:c>
      <x:c r="H13" s="18" t="str">
        <x:v>O*NET security-manager duties; Business-analysis concepts primer</x:v>
      </x:c>
      <x:c r="I13" s="18" t="str">
        <x:v>Yufei Li</x:v>
      </x:c>
      <x:c r="J13" s="18" t="str">
        <x:v>High</x:v>
      </x:c>
      <x:c r="K13" s="18" t="str">
        <x:v>Open</x:v>
      </x:c>
      <x:c r="L13" s="18" t="str">
        <x:v>W4–5</x:v>
      </x:c>
      <x:c r="M13" s="18" t="str">
        <x:v>S7; I1a</x:v>
      </x:c>
    </x:row>
    <x:row r="14" ht="46.5" customHeight="1">
      <x:c r="A14" s="21" t="str">
        <x:v>H02b</x:v>
      </x:c>
      <x:c r="B14" s="19" t="str">
        <x:v>H02</x:v>
      </x:c>
      <x:c r="C14" s="19" t="str">
        <x:v>Sentinel</x:v>
      </x:c>
      <x:c r="D14" s="19" t="str">
        <x:v>User / primary alternative</x:v>
      </x:c>
      <x:c r="E14" s="19" t="str">
        <x:v>SOC analysts triage alerts and guards respond. Primary alternative: manual review in the existing VMS.</x:v>
      </x:c>
      <x:c r="F14" s="19" t="str">
        <x:v>An analytics offer should improve the existing monitoring workflow.</x:v>
      </x:c>
      <x:c r="G14" s="19" t="str">
        <x:v>Document workload, actionable events, false alarms and escalation.</x:v>
      </x:c>
      <x:c r="H14" s="19" t="str">
        <x:v>BLS security-guard duties; Business-analysis concepts primer</x:v>
      </x:c>
      <x:c r="I14" s="19" t="str">
        <x:v>Yufei Li</x:v>
      </x:c>
      <x:c r="J14" s="19" t="str">
        <x:v>High</x:v>
      </x:c>
      <x:c r="K14" s="19" t="str">
        <x:v>Open</x:v>
      </x:c>
      <x:c r="L14" s="19" t="str">
        <x:v>W4–5</x:v>
      </x:c>
      <x:c r="M14" s="19" t="str">
        <x:v>S4; I1a</x:v>
      </x:c>
    </x:row>
    <x:row r="15" ht="46.5" customHeight="1">
      <x:c r="A15" s="20" t="str">
        <x:v>H02c</x:v>
      </x:c>
      <x:c r="B15" s="18" t="str">
        <x:v>H02</x:v>
      </x:c>
      <x:c r="C15" s="18" t="str">
        <x:v>Sentinel</x:v>
      </x:c>
      <x:c r="D15" s="18" t="str">
        <x:v>Revenue model</x:v>
      </x:c>
      <x:c r="E15" s="18" t="str">
        <x:v>A site- or camera-based licence/subscription plus integration/support is a candidate offer.</x:v>
      </x:c>
      <x:c r="F15" s="18" t="str">
        <x:v>A software-led route could fit installed infrastructure.</x:v>
      </x:c>
      <x:c r="G15" s="18" t="str">
        <x:v>Confirm standalone availability, price basis and compatibility before modelling it as live.</x:v>
      </x:c>
      <x:c r="H15" s="18" t="str">
        <x:v>InGen website; InGen annual report (2025); Business-analysis concepts primer</x:v>
      </x:c>
      <x:c r="I15" s="18" t="str">
        <x:v>Yufei Li</x:v>
      </x:c>
      <x:c r="J15" s="18" t="str">
        <x:v>High</x:v>
      </x:c>
      <x:c r="K15" s="18" t="str">
        <x:v>Open</x:v>
      </x:c>
      <x:c r="L15" s="18" t="str">
        <x:v>W4–5</x:v>
      </x:c>
      <x:c r="M15" s="18" t="str">
        <x:v>S1; S2; I1a</x:v>
      </x:c>
    </x:row>
    <x:row r="16" ht="46.5" customHeight="1">
      <x:c r="A16" s="21" t="str">
        <x:v>H02d</x:v>
      </x:c>
      <x:c r="B16" s="19" t="str">
        <x:v>H02</x:v>
      </x:c>
      <x:c r="C16" s="19" t="str">
        <x:v>Sentinel</x:v>
      </x:c>
      <x:c r="D16" s="19" t="str">
        <x:v>Primary adoption barrier</x:v>
      </x:c>
      <x:c r="E16" s="19" t="str">
        <x:v>Integration with the installed monitoring environment may be the main barrier.</x:v>
      </x:c>
      <x:c r="F16" s="19" t="str">
        <x:v>Value depends on compatible data and reliable alert handling.</x:v>
      </x:c>
      <x:c r="G16" s="19" t="str">
        <x:v>Check VMS interfaces, access, retention, performance and support boundaries.</x:v>
      </x:c>
      <x:c r="H16" s="19" t="str">
        <x:v>NIST AI risk framework; NIST governance playbook; Platform business brief</x:v>
      </x:c>
      <x:c r="I16" s="19" t="str">
        <x:v>Yufei Li</x:v>
      </x:c>
      <x:c r="J16" s="19" t="str">
        <x:v>High</x:v>
      </x:c>
      <x:c r="K16" s="19" t="str">
        <x:v>Open</x:v>
      </x:c>
      <x:c r="L16" s="19" t="str">
        <x:v>W4–5</x:v>
      </x:c>
      <x:c r="M16" s="19" t="str">
        <x:v>S5; S5a; I2</x:v>
      </x:c>
    </x:row>
    <x:row r="17" ht="51.75" customHeight="1">
      <x:c r="A17" s="20" t="str">
        <x:v>H03a</x:v>
      </x:c>
      <x:c r="B17" s="18" t="str">
        <x:v>H03</x:v>
      </x:c>
      <x:c r="C17" s="18" t="str">
        <x:v>Fari</x:v>
      </x:c>
      <x:c r="D17" s="18" t="str">
        <x:v>Buyer / budget / trigger</x:v>
      </x:c>
      <x:c r="E17" s="18" t="str">
        <x:v>Facility Executive Director with resident-life sponsor. Engagement/programming or innovation budget. Trigger: activity gaps, isolation concerns or programme review.</x:v>
      </x:c>
      <x:c r="F17" s="18" t="str">
        <x:v>An institutional pilot provides a defined setting. No reimbursement or budget amount assumed.</x:v>
      </x:c>
      <x:c r="G17" s="18" t="str">
        <x:v>Confirm the actual budget holder and current Fari care configuration.</x:v>
      </x:c>
      <x:c r="H17" s="18" t="str">
        <x:v>InGen website; InGen annual report (2025); Manchester collaboration announcement; Business-analysis concepts primer</x:v>
      </x:c>
      <x:c r="I17" s="18" t="str">
        <x:v>Yufei Li</x:v>
      </x:c>
      <x:c r="J17" s="18" t="str">
        <x:v>High</x:v>
      </x:c>
      <x:c r="K17" s="18" t="str">
        <x:v>Open</x:v>
      </x:c>
      <x:c r="L17" s="18" t="str">
        <x:v>W4</x:v>
      </x:c>
      <x:c r="M17" s="18" t="str">
        <x:v>S1; S2; S3; I1a</x:v>
      </x:c>
    </x:row>
    <x:row r="18" ht="46.5" customHeight="1">
      <x:c r="A18" s="21" t="str">
        <x:v>H03b</x:v>
      </x:c>
      <x:c r="B18" s="19" t="str">
        <x:v>H03</x:v>
      </x:c>
      <x:c r="C18" s="19" t="str">
        <x:v>Fari</x:v>
      </x:c>
      <x:c r="D18" s="19" t="str">
        <x:v>User / primary alternative</x:v>
      </x:c>
      <x:c r="E18" s="19" t="str">
        <x:v>Activity staff set up sessions and residents interact. Primary alternative: staff-led engagement sessions.</x:v>
      </x:c>
      <x:c r="F18" s="19" t="str">
        <x:v>The working use case supplements human interaction.</x:v>
      </x:c>
      <x:c r="G18" s="19" t="str">
        <x:v>Measure voluntary repeat use and staff effort. No clinical or staffing reduction claimed.</x:v>
      </x:c>
      <x:c r="H18" s="19" t="str">
        <x:v>InGen website; Manchester collaboration announcement; Platform business brief</x:v>
      </x:c>
      <x:c r="I18" s="19" t="str">
        <x:v>Yufei Li</x:v>
      </x:c>
      <x:c r="J18" s="19" t="str">
        <x:v>High</x:v>
      </x:c>
      <x:c r="K18" s="19" t="str">
        <x:v>Open</x:v>
      </x:c>
      <x:c r="L18" s="19" t="str">
        <x:v>W4</x:v>
      </x:c>
      <x:c r="M18" s="19" t="str">
        <x:v>S1; S3; I2</x:v>
      </x:c>
    </x:row>
    <x:row r="19" ht="46.5" customHeight="1">
      <x:c r="A19" s="20" t="str">
        <x:v>H03c</x:v>
      </x:c>
      <x:c r="B19" s="18" t="str">
        <x:v>H03</x:v>
      </x:c>
      <x:c r="C19" s="18" t="str">
        <x:v>Fari</x:v>
      </x:c>
      <x:c r="D19" s="18" t="str">
        <x:v>Revenue model</x:v>
      </x:c>
      <x:c r="E19" s="18" t="str">
        <x:v>A supported lease or service subscription may follow a small facility pilot.</x:v>
      </x:c>
      <x:c r="F19" s="18" t="str">
        <x:v>A facility contract could bundle onboarding, content and maintenance.</x:v>
      </x:c>
      <x:c r="G19" s="18" t="str">
        <x:v>Test support workload, equipment life and willingness to pay.</x:v>
      </x:c>
      <x:c r="H19" s="18" t="str">
        <x:v>InGen annual report (2025); Platform business brief</x:v>
      </x:c>
      <x:c r="I19" s="18" t="str">
        <x:v>Yufei Li</x:v>
      </x:c>
      <x:c r="J19" s="18" t="str">
        <x:v>High</x:v>
      </x:c>
      <x:c r="K19" s="18" t="str">
        <x:v>Open</x:v>
      </x:c>
      <x:c r="L19" s="18" t="str">
        <x:v>W4</x:v>
      </x:c>
      <x:c r="M19" s="18" t="str">
        <x:v>S2; I2</x:v>
      </x:c>
    </x:row>
    <x:row r="20" ht="46.5" customHeight="1">
      <x:c r="A20" s="21" t="str">
        <x:v>H03d</x:v>
      </x:c>
      <x:c r="B20" s="19" t="str">
        <x:v>H03</x:v>
      </x:c>
      <x:c r="C20" s="19" t="str">
        <x:v>Fari</x:v>
      </x:c>
      <x:c r="D20" s="19" t="str">
        <x:v>Primary adoption barrier</x:v>
      </x:c>
      <x:c r="E20" s="19" t="str">
        <x:v>Resident/family acceptance and data practices may be the main constraint.</x:v>
      </x:c>
      <x:c r="F20" s="19" t="str">
        <x:v>The user and the institutional buyer have different interests.</x:v>
      </x:c>
      <x:c r="G20" s="19" t="str">
        <x:v>Validate consent, ability to decline, staff oversight and actual data flows.</x:v>
      </x:c>
      <x:c r="H20" s="19" t="str">
        <x:v>NIST AI risk framework; Business-analysis concepts primer; Platform business brief</x:v>
      </x:c>
      <x:c r="I20" s="19" t="str">
        <x:v>Yufei Li</x:v>
      </x:c>
      <x:c r="J20" s="19" t="str">
        <x:v>High</x:v>
      </x:c>
      <x:c r="K20" s="19" t="str">
        <x:v>Open</x:v>
      </x:c>
      <x:c r="L20" s="19" t="str">
        <x:v>W4</x:v>
      </x:c>
      <x:c r="M20" s="19" t="str">
        <x:v>S5; I1a; I2</x:v>
      </x:c>
    </x:row>
    <x:row r="21" ht="51.75" customHeight="1">
      <x:c r="A21" s="20" t="str">
        <x:v>H04a</x:v>
      </x:c>
      <x:c r="B21" s="18" t="str">
        <x:v>H04</x:v>
      </x:c>
      <x:c r="C21" s="18" t="str">
        <x:v>Senpai</x:v>
      </x:c>
      <x:c r="D21" s="18" t="str">
        <x:v>Buyer / budget / trigger</x:v>
      </x:c>
      <x:c r="E21" s="18" t="str">
        <x:v>District Technology Director or delegated principal. Instructional-tech or eligible grant budget. Trigger: STEM procurement, grant award or curriculum review.</x:v>
      </x:c>
      <x:c r="F21" s="18" t="str">
        <x:v>Schools use structured budget and approval routes.</x:v>
      </x:c>
      <x:c r="G21" s="18" t="str">
        <x:v>Verify grant restrictions, decision authority and purchase timing.</x:v>
      </x:c>
      <x:c r="H21" s="18" t="str">
        <x:v>Business-analysis concepts primer; Platform business brief</x:v>
      </x:c>
      <x:c r="I21" s="18" t="str">
        <x:v>Yufei Li</x:v>
      </x:c>
      <x:c r="J21" s="18" t="str">
        <x:v>High</x:v>
      </x:c>
      <x:c r="K21" s="18" t="str">
        <x:v>Open</x:v>
      </x:c>
      <x:c r="L21" s="18" t="str">
        <x:v>W6 next steps</x:v>
      </x:c>
      <x:c r="M21" s="18" t="str">
        <x:v>I1a; I2</x:v>
      </x:c>
    </x:row>
    <x:row r="22" ht="46.5" customHeight="1">
      <x:c r="A22" s="21" t="str">
        <x:v>H04b</x:v>
      </x:c>
      <x:c r="B22" s="19" t="str">
        <x:v>H04</x:v>
      </x:c>
      <x:c r="C22" s="19" t="str">
        <x:v>Senpai</x:v>
      </x:c>
      <x:c r="D22" s="19" t="str">
        <x:v>User / primary alternative</x:v>
      </x:c>
      <x:c r="E22" s="19" t="str">
        <x:v>Teachers configure/supervise sessions and students interact. Primary alternative: learning with tablets/apps.</x:v>
      </x:c>
      <x:c r="F22" s="19" t="str">
        <x:v>A physical robot must add value beyond established tools.</x:v>
      </x:c>
      <x:c r="G22" s="19" t="str">
        <x:v>Compare lesson preparation, engagement and learning evidence.</x:v>
      </x:c>
      <x:c r="H22" s="19" t="str">
        <x:v>InGen website; Manchester collaboration announcement; Platform business brief</x:v>
      </x:c>
      <x:c r="I22" s="19" t="str">
        <x:v>Yufei Li</x:v>
      </x:c>
      <x:c r="J22" s="19" t="str">
        <x:v>High</x:v>
      </x:c>
      <x:c r="K22" s="19" t="str">
        <x:v>Open</x:v>
      </x:c>
      <x:c r="L22" s="19" t="str">
        <x:v>W6 next steps</x:v>
      </x:c>
      <x:c r="M22" s="19" t="str">
        <x:v>S1; S3; I2</x:v>
      </x:c>
    </x:row>
    <x:row r="23" ht="46.5" customHeight="1">
      <x:c r="A23" s="20" t="str">
        <x:v>H04c</x:v>
      </x:c>
      <x:c r="B23" s="18" t="str">
        <x:v>H04</x:v>
      </x:c>
      <x:c r="C23" s="18" t="str">
        <x:v>Senpai</x:v>
      </x:c>
      <x:c r="D23" s="18" t="str">
        <x:v>Revenue model</x:v>
      </x:c>
      <x:c r="E23" s="18" t="str">
        <x:v>Device sale/lease plus annual content and support licence is a candidate hybrid.</x:v>
      </x:c>
      <x:c r="F23" s="18" t="str">
        <x:v>Content refresh and teacher support may justify recurring fees.</x:v>
      </x:c>
      <x:c r="G23" s="18" t="str">
        <x:v>Check content rights, renewal criteria and total training/support cost.</x:v>
      </x:c>
      <x:c r="H23" s="18" t="str">
        <x:v>InGen annual report (2025); Business-analysis concepts primer; Platform business brief</x:v>
      </x:c>
      <x:c r="I23" s="18" t="str">
        <x:v>Yufei Li</x:v>
      </x:c>
      <x:c r="J23" s="18" t="str">
        <x:v>High</x:v>
      </x:c>
      <x:c r="K23" s="18" t="str">
        <x:v>Open</x:v>
      </x:c>
      <x:c r="L23" s="18" t="str">
        <x:v>W6 next steps</x:v>
      </x:c>
      <x:c r="M23" s="18" t="str">
        <x:v>S2; I1a; I2</x:v>
      </x:c>
    </x:row>
    <x:row r="24" ht="46.5" customHeight="1">
      <x:c r="A24" s="21" t="str">
        <x:v>H04d</x:v>
      </x:c>
      <x:c r="B24" s="19" t="str">
        <x:v>H04</x:v>
      </x:c>
      <x:c r="C24" s="19" t="str">
        <x:v>Senpai</x:v>
      </x:c>
      <x:c r="D24" s="19" t="str">
        <x:v>Primary adoption barrier</x:v>
      </x:c>
      <x:c r="E24" s="19" t="str">
        <x:v>Approval of children’s data collection/use may be the principal constraint.</x:v>
      </x:c>
      <x:c r="F24" s="19" t="str">
        <x:v>Connected educational services can require specific privacy review.</x:v>
      </x:c>
      <x:c r="G24" s="19" t="str">
        <x:v>Map actual data flows and review applicable current requirements.</x:v>
      </x:c>
      <x:c r="H24" s="19" t="str">
        <x:v>FTC COPPA guidance; Platform business brief</x:v>
      </x:c>
      <x:c r="I24" s="19" t="str">
        <x:v>Yufei Li</x:v>
      </x:c>
      <x:c r="J24" s="19" t="str">
        <x:v>High</x:v>
      </x:c>
      <x:c r="K24" s="19" t="str">
        <x:v>Open</x:v>
      </x:c>
      <x:c r="L24" s="19" t="str">
        <x:v>W6 next steps</x:v>
      </x:c>
      <x:c r="M24" s="19" t="str">
        <x:v>S6; I2</x:v>
      </x:c>
    </x:row>
    <x:row r="25" ht="46.5" customHeight="1">
      <x:c r="A25" s="20" t="str">
        <x:v>H05a</x:v>
      </x:c>
      <x:c r="B25" s="18" t="str">
        <x:v>H05</x:v>
      </x:c>
      <x:c r="C25" s="18" t="str">
        <x:v>Humanoid</x:v>
      </x:c>
      <x:c r="D25" s="18" t="str">
        <x:v>Buyer / budget / trigger</x:v>
      </x:c>
      <x:c r="E25" s="18" t="str">
        <x:v>University PI or corporate R&amp;D director. Awarded research/equipment funding. Trigger: a funded experiment needs unavailable embodied capability.</x:v>
      </x:c>
      <x:c r="F25" s="18" t="str">
        <x:v>Research buyers can fund a specific experiment rather than general labour saving.</x:v>
      </x:c>
      <x:c r="G25" s="18" t="str">
        <x:v>Verify eligible funds, signatory and a concrete research task.</x:v>
      </x:c>
      <x:c r="H25" s="18" t="str">
        <x:v>Business-analysis concepts primer; Platform business brief</x:v>
      </x:c>
      <x:c r="I25" s="18" t="str">
        <x:v>Yufei Li</x:v>
      </x:c>
      <x:c r="J25" s="18" t="str">
        <x:v>High</x:v>
      </x:c>
      <x:c r="K25" s="18" t="str">
        <x:v>Open</x:v>
      </x:c>
      <x:c r="L25" s="18" t="str">
        <x:v>W6 next steps</x:v>
      </x:c>
      <x:c r="M25" s="18" t="str">
        <x:v>I1a; I2</x:v>
      </x:c>
    </x:row>
    <x:row r="26" ht="46.5" customHeight="1">
      <x:c r="A26" s="21" t="str">
        <x:v>H05b</x:v>
      </x:c>
      <x:c r="B26" s="19" t="str">
        <x:v>H05</x:v>
      </x:c>
      <x:c r="C26" s="19" t="str">
        <x:v>Humanoid</x:v>
      </x:c>
      <x:c r="D26" s="19" t="str">
        <x:v>User / primary alternative</x:v>
      </x:c>
      <x:c r="E26" s="19" t="str">
        <x:v>Researchers, graduate students and lab engineers operate it. Primary alternative: an existing research robot plus simulation.</x:v>
      </x:c>
      <x:c r="F26" s="19" t="str">
        <x:v>Repeatability and usable interfaces matter to the research workflow.</x:v>
      </x:c>
      <x:c r="G26" s="19" t="str">
        <x:v>Compare achievable tasks, repeatability and support with available alternatives.</x:v>
      </x:c>
      <x:c r="H26" s="19" t="str">
        <x:v>InGen website; Business-analysis concepts primer; Platform business brief</x:v>
      </x:c>
      <x:c r="I26" s="19" t="str">
        <x:v>Yufei Li</x:v>
      </x:c>
      <x:c r="J26" s="19" t="str">
        <x:v>High</x:v>
      </x:c>
      <x:c r="K26" s="19" t="str">
        <x:v>Open</x:v>
      </x:c>
      <x:c r="L26" s="19" t="str">
        <x:v>W6 next steps</x:v>
      </x:c>
      <x:c r="M26" s="19" t="str">
        <x:v>S1; I1a; I2</x:v>
      </x:c>
    </x:row>
    <x:row r="27" ht="46.5" customHeight="1">
      <x:c r="A27" s="20" t="str">
        <x:v>H05c</x:v>
      </x:c>
      <x:c r="B27" s="18" t="str">
        <x:v>H05</x:v>
      </x:c>
      <x:c r="C27" s="18" t="str">
        <x:v>Humanoid</x:v>
      </x:c>
      <x:c r="D27" s="18" t="str">
        <x:v>Revenue model</x:v>
      </x:c>
      <x:c r="E27" s="18" t="str">
        <x:v>Milestone research agreement, equipment sale or limited lease plus software/support is a candidate model.</x:v>
      </x:c>
      <x:c r="F27" s="18" t="str">
        <x:v>A bounded research contract can price deliverables and support.</x:v>
      </x:c>
      <x:c r="G27" s="18" t="str">
        <x:v>Confirm task delivery, ownership, publication/data rights and support limits.</x:v>
      </x:c>
      <x:c r="H27" s="18" t="str">
        <x:v>InGen annual report (2025); Business-analysis concepts primer; Platform business brief</x:v>
      </x:c>
      <x:c r="I27" s="18" t="str">
        <x:v>Yufei Li</x:v>
      </x:c>
      <x:c r="J27" s="18" t="str">
        <x:v>High</x:v>
      </x:c>
      <x:c r="K27" s="18" t="str">
        <x:v>Open</x:v>
      </x:c>
      <x:c r="L27" s="18" t="str">
        <x:v>W6 next steps</x:v>
      </x:c>
      <x:c r="M27" s="18" t="str">
        <x:v>S2; I1a; I2</x:v>
      </x:c>
    </x:row>
    <x:row r="28" ht="46.5" customHeight="1">
      <x:c r="A28" s="21" t="str">
        <x:v>H05d</x:v>
      </x:c>
      <x:c r="B28" s="19" t="str">
        <x:v>H05</x:v>
      </x:c>
      <x:c r="C28" s="19" t="str">
        <x:v>Humanoid</x:v>
      </x:c>
      <x:c r="D28" s="19" t="str">
        <x:v>Primary adoption barrier</x:v>
      </x:c>
      <x:c r="E28" s="19" t="str">
        <x:v>Insufficient evidence of repeatable, supportable research capability may slow purchase.</x:v>
      </x:c>
      <x:c r="F28" s="19" t="str">
        <x:v>Public specifications do not prove a usable research result.</x:v>
      </x:c>
      <x:c r="G28" s="19" t="str">
        <x:v>Seek a repeatable demonstration and documented safe operating limits.</x:v>
      </x:c>
      <x:c r="H28" s="19" t="str">
        <x:v>InGen website; NIST AI risk framework; Platform business brief</x:v>
      </x:c>
      <x:c r="I28" s="19" t="str">
        <x:v>Yufei Li</x:v>
      </x:c>
      <x:c r="J28" s="19" t="str">
        <x:v>High</x:v>
      </x:c>
      <x:c r="K28" s="19" t="str">
        <x:v>Open</x:v>
      </x:c>
      <x:c r="L28" s="19" t="str">
        <x:v>W6 next steps</x:v>
      </x:c>
      <x:c r="M28" s="19" t="str">
        <x:v>S1; S5; I2</x:v>
      </x:c>
    </x:row>
  </x:sheetData>
  <x:dataValidations count="2">
    <x:dataValidation type="list" sqref="K9:K28">
      <x:formula1>"Open,Validated,Revised"</x:formula1>
    </x:dataValidation>
    <x:dataValidation type="list" sqref="J9:J28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b45bf5e6104f52"/>
  </x:tableParts>
</x:worksheet>
</file>