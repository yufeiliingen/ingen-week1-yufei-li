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feeb5f6ca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b40845122328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182C40"/>
      <x:name val="Nimbus Sans"/>
    </x:font>
    <x:font>
      <x:b/>
      <x:sz val="17"/>
      <x:color rgb="FF173B5E"/>
      <x:name val="Nimbus Sans"/>
    </x:font>
    <x:font>
      <x:sz val="11"/>
      <x:color rgb="FF52677A"/>
      <x:name val="Nimbus Sans"/>
    </x:font>
    <x:font>
      <x:sz val="10"/>
      <x:color rgb="FF52677A"/>
      <x:name val="Nimbus Sans"/>
    </x:font>
    <x:font>
      <x:b/>
      <x:sz val="11"/>
      <x:color rgb="FFFFFFFF"/>
      <x:name val="Nimbus Sans"/>
    </x:font>
    <x:font>
      <x:b/>
      <x:sz val="11"/>
      <x:color rgb="FF173B5E"/>
      <x:name val="Nimbus Sans"/>
    </x:font>
    <x:font>
      <x:u val="single"/>
      <x:sz val="11"/>
      <x:color rgb="FF173B5E"/>
      <x:name val="Nimbus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EF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963f29f804f4d" /><Relationship Type="http://schemas.openxmlformats.org/officeDocument/2006/relationships/theme" Target="/xl/theme/theme1.xml" Id="R7fbcfd56c1ff4ffd" /><Relationship Type="http://schemas.openxmlformats.org/officeDocument/2006/relationships/sharedStrings" Target="/xl/sharedStrings.xml" Id="R64324e93e68e456a" /><Relationship Type="http://schemas.openxmlformats.org/officeDocument/2006/relationships/worksheet" Target="/xl/worksheets/sheet1.xml" Id="Rb4084512232844ae" /></Relationships>
</file>

<file path=xl/tables/table1.xml><?xml version="1.0" encoding="utf-8"?>
<x:table xmlns:x="http://schemas.openxmlformats.org/spreadsheetml/2006/main" id="1" name="Week1Sources" displayName="Week1Sources" ref="A6:G18" headerRowCount="1" totalsRowCount="0" totalsRowShown="0">
  <x:autoFilter ref="A6:G18"/>
  <x:tableColumns count="7">
    <x:tableColumn id="1" name="Source"/>
    <x:tableColumn id="2" name="Evidence used"/>
    <x:tableColumn id="3" name="Used in"/>
    <x:tableColumn id="4" name="Source link"/>
    <x:tableColumn id="5" name="Grade"/>
    <x:tableColumn id="6" name="Publication date"/>
    <x:tableColumn id="7" name="Date accesse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dbc2e6a0024f4c4b"/><Relationship Id="rIdSource1" Type="http://schemas.openxmlformats.org/officeDocument/2006/relationships/hyperlink" Target="https://www.ingendynamics.com/" TargetMode="External"/><Relationship Id="rIdSource2" Type="http://schemas.openxmlformats.org/officeDocument/2006/relationships/hyperlink" Target="https://www.sec.gov/Archives/edgar/data/1690888/000169088826000003/ingen_form_c-ar_20251.htm" TargetMode="External"/><Relationship Id="rIdSource3" Type="http://schemas.openxmlformats.org/officeDocument/2006/relationships/hyperlink" Target="https://www.manchester.ac.uk/about/news/the-university-of-manchester-to-collaborate-with-leading-innovator-in-ai-driven-automation-and-robotics/" TargetMode="External"/><Relationship Id="rIdSource4" Type="http://schemas.openxmlformats.org/officeDocument/2006/relationships/hyperlink" Target="https://www.bls.gov/ooh/protective-service/security-guards.htm" TargetMode="External"/><Relationship Id="rIdSource5" Type="http://schemas.openxmlformats.org/officeDocument/2006/relationships/hyperlink" Target="https://www.nist.gov/itl/ai-risk-management-framework" TargetMode="External"/><Relationship Id="rIdSource6" Type="http://schemas.openxmlformats.org/officeDocument/2006/relationships/hyperlink" Target="https://airc.nist.gov/airmf-resources/playbook/govern/" TargetMode="External"/><Relationship Id="rIdSource7" Type="http://schemas.openxmlformats.org/officeDocument/2006/relationships/hyperlink" Target="https://www.ftc.gov/business-guidance/resources/complying-coppa-frequently-asked-questions" TargetMode="External"/><Relationship Id="rIdSource8" Type="http://schemas.openxmlformats.org/officeDocument/2006/relationships/hyperlink" Target="https://www.onetonline.org/link/details/11-3013.01" TargetMode="External"/><Relationship Id="rIdSource9" Type="http://schemas.openxmlformats.org/officeDocument/2006/relationships/hyperlink" Target="https://www.onetonline.org/link/details/11-3013.00" TargetMode="External"/><Relationship Id="rIdSource10" Type="http://schemas.openxmlformats.org/officeDocument/2006/relationships/hyperlink" Target="https://www.finance-ni.gov.uk/articles/programme-and-project-management-tools-and-techniques" TargetMode="External"/><Relationship Id="rIdSource11" Type="http://schemas.openxmlformats.org/officeDocument/2006/relationships/hyperlink" Target="https://analysisfunction.civilservice.gov.uk/policy-store/stakeholder-mapping/" TargetMode="External"/><Relationship Id="rIdSource12" Type="http://schemas.openxmlformats.org/officeDocument/2006/relationships/hyperlink" Target="https://www.census.gov/programs-surveys/cbp/about.html" TargetMode="External"/></Relationships>
</file>

<file path=xl/worksheets/sheet1.xml><?xml version="1.0" encoding="utf-8"?>
<x:worksheet xmlns:x="http://schemas.openxmlformats.org/spreadsheetml/2006/main">
  <x:sheetPr>
    <x:tabColor rgb="FF173B5E"/>
    <x:outlinePr summaryRight="1" showOutlineSymbols="1"/>
  </x:sheetPr>
  <x:sheetViews>
    <x:sheetView showGridLines="0" workbookViewId="0" showOutlineSymbols="1">
      <x:pane xSplit="1" ySplit="6" topLeftCell="B7" activePane="bottomRight" state="frozen"/>
    </x:sheetView>
  </x:sheetViews>
  <x:sheetFormatPr defaultRowHeight="15" outlineLevelCol="1"/>
  <x:cols>
    <x:col min="1" max="1" width="31.110000610351562" hidden="0" customWidth="1"/>
    <x:col min="2" max="2" width="56.66999816894531" hidden="0" customWidth="1"/>
    <x:col min="3" max="3" width="27.780000686645508" hidden="0" customWidth="1"/>
    <x:col min="4" max="4" width="13.329999923706055" hidden="0" customWidth="1"/>
    <x:col min="5" max="5" width="8.329999923706055" hidden="0" customWidth="1"/>
    <x:col min="6" max="6" width="13.890000343322754" hidden="1" customWidth="1" outlineLevel="1"/>
    <x:col min="7" max="7" width="13.890000343322754" hidden="1" customWidth="1" outlineLevel="1"/>
    <x:col width="3" customWidth="1" collapsed="1" min="8" max="8"/>
  </x:cols>
  <x:sheetData>
    <x:row r="1">
      <x:c r="A1" s="1"/>
      <x:c r="B1" s="1"/>
      <x:c r="C1" s="1"/>
      <x:c r="D1" s="1"/>
      <x:c r="E1" s="1"/>
      <x:c r="F1" s="1"/>
      <x:c r="G1" s="1"/>
    </x:row>
    <x:row r="2" ht="25.5" customHeight="1">
      <x:c r="A2" s="2" t="str">
        <x:v>Sources used in Week 1</x:v>
      </x:c>
      <x:c r="B2" s="1"/>
      <x:c r="C2" s="1"/>
      <x:c r="D2" s="1"/>
      <x:c r="E2" s="1"/>
      <x:c r="F2" s="1"/>
      <x:c r="G2" s="1"/>
    </x:row>
    <x:row r="3">
      <x:c r="A3" s="3" t="str">
        <x:v>InGen Dynamics. Yufei Li. 27 October 2026.</x:v>
      </x:c>
      <x:c r="B3" s="1"/>
      <x:c r="C3" s="1"/>
      <x:c r="D3" s="1"/>
      <x:c r="E3" s="1"/>
      <x:c r="F3" s="1"/>
      <x:c r="G3" s="1"/>
    </x:row>
    <x:row r="4" ht="19.5" customHeight="1">
      <x:c r="A4" s="4" t="str">
        <x:v>A: official or institutional source. B: company disclosure. C: secondary source. Dates are grouped on the right.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6" customHeight="1">
      <x:c r="A6" s="9" t="str">
        <x:v>Source</x:v>
      </x:c>
      <x:c r="B6" s="9" t="str">
        <x:v>Evidence used</x:v>
      </x:c>
      <x:c r="C6" s="9" t="str">
        <x:v>Used in</x:v>
      </x:c>
      <x:c r="D6" s="9" t="str">
        <x:v>Source link</x:v>
      </x:c>
      <x:c r="E6" s="9" t="str">
        <x:v>Grade</x:v>
      </x:c>
      <x:c r="F6" s="9" t="str">
        <x:v>Publication date</x:v>
      </x:c>
      <x:c r="G6" s="9" t="str">
        <x:v>Date accessed</x:v>
      </x:c>
    </x:row>
    <x:row r="7" ht="79.5" customHeight="1">
      <x:c r="A7" s="13" t="str">
        <x:v>InGen website</x:v>
      </x:c>
      <x:c r="B7" s="11" t="str">
        <x:v>Lists Rover and Humanoid as research-stage, Fari and Senpai in development, and Sentinel as operational.</x:v>
      </x:c>
      <x:c r="C7" s="11" t="str">
        <x:v>Platform profiles; readiness questions</x:v>
      </x:c>
      <x:c r="D7" s="15" t="str">
        <x:v>Open source</x:v>
      </x:c>
      <x:c r="E7" s="17" t="str">
        <x:v>B</x:v>
      </x:c>
      <x:c r="F7" s="19" t="str">
        <x:v>n.d.</x:v>
      </x:c>
      <x:c r="G7" s="19" t="d">
        <x:v>2026-10-27T12:00:00.000Z</x:v>
      </x:c>
    </x:row>
    <x:row r="8" ht="79.5" customHeight="1">
      <x:c r="A8" s="14" t="str">
        <x:v>InGen annual report (2025)</x:v>
      </x:c>
      <x:c r="B8" s="12" t="str">
        <x:v>Describes Fari for service and enterprise uses and recurring platform services as under development. Compare with the website before selecting an offer.</x:v>
      </x:c>
      <x:c r="C8" s="12" t="str">
        <x:v>Fari scope; Sentinel availability; revenue models</x:v>
      </x:c>
      <x:c r="D8" s="16" t="str">
        <x:v>Open source</x:v>
      </x:c>
      <x:c r="E8" s="18" t="str">
        <x:v>B</x:v>
      </x:c>
      <x:c r="F8" s="20" t="d">
        <x:v>2026-04-30T12:00:00.000Z</x:v>
      </x:c>
      <x:c r="G8" s="20" t="d">
        <x:v>2026-10-27T12:00:00.000Z</x:v>
      </x:c>
    </x:row>
    <x:row r="9" ht="79.5" customHeight="1">
      <x:c r="A9" s="13" t="str">
        <x:v>Manchester collaboration announcement</x:v>
      </x:c>
      <x:c r="B9" s="11" t="str">
        <x:v>Announces elderly-care and education research, including a proposed social-care evaluation setting. No completed evaluation is reported in the announcement.</x:v>
      </x:c>
      <x:c r="C9" s="11" t="str">
        <x:v>Fari and Senpai profiles</x:v>
      </x:c>
      <x:c r="D9" s="15" t="str">
        <x:v>Open source</x:v>
      </x:c>
      <x:c r="E9" s="17" t="str">
        <x:v>A</x:v>
      </x:c>
      <x:c r="F9" s="19" t="d">
        <x:v>2025-04-10T12:00:00.000Z</x:v>
      </x:c>
      <x:c r="G9" s="19" t="d">
        <x:v>2026-10-27T12:00:00.000Z</x:v>
      </x:c>
    </x:row>
    <x:row r="10" ht="79.5" customHeight="1">
      <x:c r="A10" s="14" t="str">
        <x:v>BLS security-guard duties</x:v>
      </x:c>
      <x:c r="B10" s="12" t="str">
        <x:v>Guard duties include monitoring, patrol, access control and response. The savings test must identify tasks that can actually be removed.</x:v>
      </x:c>
      <x:c r="C10" s="12" t="str">
        <x:v>Rover alternative; security user; customer ROI</x:v>
      </x:c>
      <x:c r="D10" s="16" t="str">
        <x:v>Open source</x:v>
      </x:c>
      <x:c r="E10" s="18" t="str">
        <x:v>A</x:v>
      </x:c>
      <x:c r="F10" s="20" t="d">
        <x:v>2026-08-27T12:00:00.000Z</x:v>
      </x:c>
      <x:c r="G10" s="20" t="d">
        <x:v>2026-10-27T12:00:00.000Z</x:v>
      </x:c>
    </x:row>
    <x:row r="11" ht="79.5" customHeight="1">
      <x:c r="A11" s="13" t="str">
        <x:v>NIST AI risk framework</x:v>
      </x:c>
      <x:c r="B11" s="11" t="str">
        <x:v>Provides a voluntary framework for evaluating AI risks in the intended operating context.</x:v>
      </x:c>
      <x:c r="C11" s="11" t="str">
        <x:v>Sentinel and Humanoid diligence; pilot requirements</x:v>
      </x:c>
      <x:c r="D11" s="15" t="str">
        <x:v>Open source</x:v>
      </x:c>
      <x:c r="E11" s="17" t="str">
        <x:v>A</x:v>
      </x:c>
      <x:c r="F11" s="19" t="str">
        <x:v>n.d.</x:v>
      </x:c>
      <x:c r="G11" s="19" t="d">
        <x:v>2026-10-27T12:00:00.000Z</x:v>
      </x:c>
    </x:row>
    <x:row r="12" ht="79.5" customHeight="1">
      <x:c r="A12" s="14" t="str">
        <x:v>NIST governance playbook</x:v>
      </x:c>
      <x:c r="B12" s="12" t="str">
        <x:v>Separates oversight, operating responsibilities and human roles.</x:v>
      </x:c>
      <x:c r="C12" s="12" t="str">
        <x:v>Responsibilities and escalation questions</x:v>
      </x:c>
      <x:c r="D12" s="16" t="str">
        <x:v>Open source</x:v>
      </x:c>
      <x:c r="E12" s="18" t="str">
        <x:v>A</x:v>
      </x:c>
      <x:c r="F12" s="20" t="str">
        <x:v>n.d.</x:v>
      </x:c>
      <x:c r="G12" s="20" t="d">
        <x:v>2026-10-27T12:00:00.000Z</x:v>
      </x:c>
    </x:row>
    <x:row r="13" ht="79.5" customHeight="1">
      <x:c r="A13" s="13" t="str">
        <x:v>FTC COPPA guidance</x:v>
      </x:c>
      <x:c r="B13" s="11" t="str">
        <x:v>Explains connected-service and school-consent considerations. Review the actual data flow when assessing an education offer.</x:v>
      </x:c>
      <x:c r="C13" s="11" t="str">
        <x:v>Senpai adoption constraint</x:v>
      </x:c>
      <x:c r="D13" s="15" t="str">
        <x:v>Open source</x:v>
      </x:c>
      <x:c r="E13" s="17" t="str">
        <x:v>A</x:v>
      </x:c>
      <x:c r="F13" s="19" t="str">
        <x:v>n.d.</x:v>
      </x:c>
      <x:c r="G13" s="19" t="d">
        <x:v>2026-10-27T12:00:00.000Z</x:v>
      </x:c>
    </x:row>
    <x:row r="14" ht="79.5" customHeight="1">
      <x:c r="A14" s="14" t="str">
        <x:v>O*NET security-manager duties</x:v>
      </x:c>
      <x:c r="B14" s="12" t="str">
        <x:v>Includes security budgeting, staff supervision and operating procedures. Supports a candidate buyer role, with signing authority still to confirm.</x:v>
      </x:c>
      <x:c r="C14" s="12" t="str">
        <x:v>Security buyer profile; stakeholder map</x:v>
      </x:c>
      <x:c r="D14" s="16" t="str">
        <x:v>Open source</x:v>
      </x:c>
      <x:c r="E14" s="18" t="str">
        <x:v>A</x:v>
      </x:c>
      <x:c r="F14" s="20" t="str">
        <x:v>n.d.</x:v>
      </x:c>
      <x:c r="G14" s="20" t="d">
        <x:v>2026-10-27T12:00:00.000Z</x:v>
      </x:c>
    </x:row>
    <x:row r="15" ht="79.5" customHeight="1">
      <x:c r="A15" s="13" t="str">
        <x:v>O*NET facilities-manager duties</x:v>
      </x:c>
      <x:c r="B15" s="11" t="str">
        <x:v>Includes contract and equipment budgets, facility safety and maintenance. Supports the facilities buyer alternative.</x:v>
      </x:c>
      <x:c r="C15" s="11" t="str">
        <x:v>Facilities buyer profile; stakeholder map</x:v>
      </x:c>
      <x:c r="D15" s="15" t="str">
        <x:v>Open source</x:v>
      </x:c>
      <x:c r="E15" s="17" t="str">
        <x:v>A</x:v>
      </x:c>
      <x:c r="F15" s="19" t="str">
        <x:v>n.d.</x:v>
      </x:c>
      <x:c r="G15" s="19" t="d">
        <x:v>2026-10-27T12:00:00.000Z</x:v>
      </x:c>
    </x:row>
    <x:row r="16" ht="79.5" customHeight="1">
      <x:c r="A16" s="14" t="str">
        <x:v>UK government RACI guidance</x:v>
      </x:c>
      <x:c r="B16" s="12" t="str">
        <x:v>Defines RACI roles and describes stakeholder analysis.</x:v>
      </x:c>
      <x:c r="C16" s="12" t="str">
        <x:v>Stakeholder matrix and programme RACI</x:v>
      </x:c>
      <x:c r="D16" s="16" t="str">
        <x:v>Open source</x:v>
      </x:c>
      <x:c r="E16" s="18" t="str">
        <x:v>A</x:v>
      </x:c>
      <x:c r="F16" s="20" t="str">
        <x:v>n.d.</x:v>
      </x:c>
      <x:c r="G16" s="20" t="d">
        <x:v>2026-10-27T12:00:00.000Z</x:v>
      </x:c>
    </x:row>
    <x:row r="17" ht="79.5" customHeight="1">
      <x:c r="A17" s="13" t="str">
        <x:v>UK government stakeholder mapping</x:v>
      </x:c>
      <x:c r="B17" s="11" t="str">
        <x:v>Explains power and interest as a basis for stakeholder involvement.</x:v>
      </x:c>
      <x:c r="C17" s="11" t="str">
        <x:v>Power/interest grid in the stakeholder map</x:v>
      </x:c>
      <x:c r="D17" s="15" t="str">
        <x:v>Open source</x:v>
      </x:c>
      <x:c r="E17" s="17" t="str">
        <x:v>A</x:v>
      </x:c>
      <x:c r="F17" s="19" t="str">
        <x:v>n.d.</x:v>
      </x:c>
      <x:c r="G17" s="19" t="d">
        <x:v>2026-10-27T12:00:00.000Z</x:v>
      </x:c>
    </x:row>
    <x:row r="18" ht="79.5" customHeight="1">
      <x:c r="A18" s="14" t="str">
        <x:v>Census establishment methodology</x:v>
      </x:c>
      <x:c r="B18" s="12" t="str">
        <x:v>Defines establishment coverage and exclusions. Establishment counts need a site mapping before use in a patrol-market estimate.</x:v>
      </x:c>
      <x:c r="C18" s="12" t="str">
        <x:v>Market-sizing method in the analysis plan</x:v>
      </x:c>
      <x:c r="D18" s="16" t="str">
        <x:v>Open source</x:v>
      </x:c>
      <x:c r="E18" s="18" t="str">
        <x:v>A</x:v>
      </x:c>
      <x:c r="F18" s="20" t="str">
        <x:v>n.d.</x:v>
      </x:c>
      <x:c r="G18" s="20" t="d">
        <x:v>2026-10-27T12:00:00.000Z</x:v>
      </x:c>
    </x:row>
  </x:sheetData>
  <x:mergeCells>
    <x:mergeCell ref="A2:E2"/>
    <x:mergeCell ref="A3:E3"/>
    <x:mergeCell ref="A4:E4"/>
  </x:mergeCells>
  <x:dataValidations count="1">
    <x:dataValidation type="list" sqref="E7:E18">
      <x:formula1>"A,B,C"</x:formula1>
    </x:dataValidation>
  </x:dataValidations>
  <x:hyperlinks>
    <x:hyperlink xmlns:ns1="http://schemas.openxmlformats.org/officeDocument/2006/relationships" ref="D7" ns1:id="rIdSource1"/>
    <x:hyperlink xmlns:ns2="http://schemas.openxmlformats.org/officeDocument/2006/relationships" ref="D8" ns2:id="rIdSource2"/>
    <x:hyperlink xmlns:ns3="http://schemas.openxmlformats.org/officeDocument/2006/relationships" ref="D9" ns3:id="rIdSource3"/>
    <x:hyperlink xmlns:ns4="http://schemas.openxmlformats.org/officeDocument/2006/relationships" ref="D10" ns4:id="rIdSource4"/>
    <x:hyperlink xmlns:ns5="http://schemas.openxmlformats.org/officeDocument/2006/relationships" ref="D11" ns5:id="rIdSource5"/>
    <x:hyperlink xmlns:ns6="http://schemas.openxmlformats.org/officeDocument/2006/relationships" ref="D12" ns6:id="rIdSource6"/>
    <x:hyperlink xmlns:ns7="http://schemas.openxmlformats.org/officeDocument/2006/relationships" ref="D13" ns7:id="rIdSource7"/>
    <x:hyperlink xmlns:ns8="http://schemas.openxmlformats.org/officeDocument/2006/relationships" ref="D14" ns8:id="rIdSource8"/>
    <x:hyperlink xmlns:ns9="http://schemas.openxmlformats.org/officeDocument/2006/relationships" ref="D15" ns9:id="rIdSource9"/>
    <x:hyperlink xmlns:ns10="http://schemas.openxmlformats.org/officeDocument/2006/relationships" ref="D16" ns10:id="rIdSource10"/>
    <x:hyperlink xmlns:ns11="http://schemas.openxmlformats.org/officeDocument/2006/relationships" ref="D17" ns11:id="rIdSource11"/>
    <x:hyperlink xmlns:ns12="http://schemas.openxmlformats.org/officeDocument/2006/relationships" ref="D18" ns12:id="rIdSource12"/>
  </x:hyperlinks>
  <x:pageMargins left="0.7" right="0.7" top="0.75" bottom="0.75" header="0.3" footer="0.3"/>
  <x:tableParts count="1">
    <x:tablePart xmlns:r="http://schemas.openxmlformats.org/officeDocument/2006/relationships" r:id="Rdbc2e6a0024f4c4b"/>
  </x:tableParts>
</x:worksheet>
</file>